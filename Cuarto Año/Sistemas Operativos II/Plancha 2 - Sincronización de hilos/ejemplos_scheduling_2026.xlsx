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Otros ordenadores\Mi PC CIFASIS\Documents\LCC\R-412_SVN\Catedra\Ejemplos\Scheduling\"/>
    </mc:Choice>
  </mc:AlternateContent>
  <xr:revisionPtr revIDLastSave="0" documentId="13_ncr:1_{8A2C3C31-2203-42D1-9DF1-F3CA75CD04A0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Hoja1" sheetId="1" r:id="rId1"/>
    <sheet name="Hoja2" sheetId="2" r:id="rId2"/>
    <sheet name="Hoja3" sheetId="4" r:id="rId3"/>
    <sheet name="Hoja4" sheetId="9" r:id="rId4"/>
    <sheet name="Hoja5" sheetId="6" r:id="rId5"/>
    <sheet name="Hoja6" sheetId="7" r:id="rId6"/>
    <sheet name="Hoja7" sheetId="8" r:id="rId7"/>
  </sheets>
  <definedNames>
    <definedName name="_xlnm.Print_Area" localSheetId="0">Hoja1!$A$64:$AK$65</definedName>
    <definedName name="_xlnm.Print_Area" localSheetId="1">Hoja2!$A$1:$AF$39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9" l="1"/>
  <c r="F23" i="9"/>
  <c r="H23" i="9" s="1"/>
  <c r="F22" i="9"/>
  <c r="H22" i="9" s="1"/>
  <c r="F21" i="9"/>
  <c r="G21" i="9" s="1"/>
  <c r="F20" i="9"/>
  <c r="G20" i="9" s="1"/>
  <c r="F19" i="9"/>
  <c r="G19" i="9" s="1"/>
  <c r="C24" i="9"/>
  <c r="C8" i="9"/>
  <c r="F7" i="9"/>
  <c r="G7" i="9" s="1"/>
  <c r="F6" i="9"/>
  <c r="H6" i="9" s="1"/>
  <c r="F5" i="9"/>
  <c r="H5" i="9" s="1"/>
  <c r="F4" i="9"/>
  <c r="H4" i="9" s="1"/>
  <c r="F3" i="9"/>
  <c r="G3" i="9" s="1"/>
  <c r="J22" i="8"/>
  <c r="I22" i="8"/>
  <c r="I21" i="8"/>
  <c r="I20" i="8"/>
  <c r="I19" i="8"/>
  <c r="I18" i="8"/>
  <c r="H22" i="8"/>
  <c r="G22" i="8"/>
  <c r="G21" i="8"/>
  <c r="H21" i="8" s="1"/>
  <c r="G20" i="8"/>
  <c r="H20" i="8" s="1"/>
  <c r="G19" i="8"/>
  <c r="J19" i="8" s="1"/>
  <c r="G18" i="8"/>
  <c r="H18" i="8" s="1"/>
  <c r="G23" i="8"/>
  <c r="I33" i="8"/>
  <c r="J32" i="8"/>
  <c r="J31" i="8"/>
  <c r="J30" i="8"/>
  <c r="J29" i="8"/>
  <c r="J28" i="8"/>
  <c r="I32" i="8"/>
  <c r="I31" i="8"/>
  <c r="I30" i="8"/>
  <c r="I29" i="8"/>
  <c r="I28" i="8"/>
  <c r="H33" i="8"/>
  <c r="G33" i="8"/>
  <c r="F21" i="7"/>
  <c r="I21" i="7" s="1"/>
  <c r="F20" i="7"/>
  <c r="I20" i="7" s="1"/>
  <c r="F19" i="7"/>
  <c r="F18" i="7"/>
  <c r="F12" i="7"/>
  <c r="F11" i="7"/>
  <c r="F10" i="7"/>
  <c r="F9" i="7"/>
  <c r="F29" i="6"/>
  <c r="F28" i="6"/>
  <c r="F27" i="6"/>
  <c r="F26" i="6"/>
  <c r="F20" i="6"/>
  <c r="F19" i="6"/>
  <c r="F18" i="6"/>
  <c r="F17" i="6"/>
  <c r="F12" i="6"/>
  <c r="F11" i="6"/>
  <c r="F10" i="6"/>
  <c r="F9" i="6"/>
  <c r="F8" i="8"/>
  <c r="I8" i="8" s="1"/>
  <c r="F7" i="8"/>
  <c r="G7" i="8" s="1"/>
  <c r="F6" i="8"/>
  <c r="G6" i="8" s="1"/>
  <c r="F5" i="8"/>
  <c r="H5" i="8" s="1"/>
  <c r="F4" i="8"/>
  <c r="H4" i="8" s="1"/>
  <c r="C30" i="6"/>
  <c r="C21" i="6"/>
  <c r="C13" i="6"/>
  <c r="C32" i="7"/>
  <c r="C22" i="7"/>
  <c r="C13" i="7"/>
  <c r="F31" i="7"/>
  <c r="G31" i="7" s="1"/>
  <c r="F30" i="7"/>
  <c r="H30" i="7" s="1"/>
  <c r="F29" i="7"/>
  <c r="I29" i="7" s="1"/>
  <c r="F28" i="7"/>
  <c r="G28" i="7" s="1"/>
  <c r="G19" i="7"/>
  <c r="H18" i="7"/>
  <c r="G12" i="7"/>
  <c r="G11" i="7"/>
  <c r="H10" i="7"/>
  <c r="I9" i="7"/>
  <c r="G22" i="9" l="1"/>
  <c r="G23" i="9"/>
  <c r="H21" i="9"/>
  <c r="H19" i="9"/>
  <c r="F24" i="9"/>
  <c r="J21" i="8"/>
  <c r="H19" i="8"/>
  <c r="H23" i="8" s="1"/>
  <c r="J18" i="8"/>
  <c r="J20" i="8"/>
  <c r="G5" i="9"/>
  <c r="G4" i="9"/>
  <c r="H3" i="9"/>
  <c r="H7" i="9"/>
  <c r="F8" i="9"/>
  <c r="G6" i="9"/>
  <c r="I23" i="8"/>
  <c r="J33" i="8"/>
  <c r="F9" i="8"/>
  <c r="I7" i="8"/>
  <c r="H7" i="8"/>
  <c r="I6" i="8"/>
  <c r="G8" i="8"/>
  <c r="H6" i="8"/>
  <c r="G5" i="8"/>
  <c r="H8" i="8"/>
  <c r="G4" i="8"/>
  <c r="G9" i="8" s="1"/>
  <c r="I4" i="8"/>
  <c r="I5" i="8"/>
  <c r="F22" i="7"/>
  <c r="F13" i="7"/>
  <c r="F32" i="7"/>
  <c r="I19" i="7"/>
  <c r="H19" i="7"/>
  <c r="H31" i="7"/>
  <c r="I28" i="7"/>
  <c r="H28" i="7"/>
  <c r="I31" i="7"/>
  <c r="H11" i="7"/>
  <c r="I11" i="7"/>
  <c r="G20" i="7"/>
  <c r="H9" i="7"/>
  <c r="H20" i="7"/>
  <c r="I12" i="7"/>
  <c r="G10" i="7"/>
  <c r="I18" i="7"/>
  <c r="G9" i="7"/>
  <c r="G29" i="7"/>
  <c r="H12" i="7"/>
  <c r="G18" i="7"/>
  <c r="G21" i="7"/>
  <c r="G30" i="7"/>
  <c r="H21" i="7"/>
  <c r="I10" i="7"/>
  <c r="I30" i="7"/>
  <c r="H29" i="7"/>
  <c r="G29" i="6"/>
  <c r="I28" i="6"/>
  <c r="G27" i="6"/>
  <c r="G20" i="6"/>
  <c r="I19" i="6"/>
  <c r="G18" i="6"/>
  <c r="H12" i="6"/>
  <c r="H11" i="6"/>
  <c r="H10" i="6"/>
  <c r="H24" i="9" l="1"/>
  <c r="G24" i="9"/>
  <c r="J23" i="8"/>
  <c r="G8" i="9"/>
  <c r="H8" i="9"/>
  <c r="H9" i="8"/>
  <c r="I9" i="8"/>
  <c r="I13" i="7"/>
  <c r="G22" i="7"/>
  <c r="G32" i="7"/>
  <c r="I32" i="7"/>
  <c r="G13" i="7"/>
  <c r="I22" i="7"/>
  <c r="H22" i="7"/>
  <c r="H32" i="7"/>
  <c r="I26" i="6"/>
  <c r="F30" i="6"/>
  <c r="I17" i="6"/>
  <c r="F21" i="6"/>
  <c r="I9" i="6"/>
  <c r="F13" i="6"/>
  <c r="H13" i="7"/>
  <c r="I11" i="6"/>
  <c r="I12" i="6"/>
  <c r="G9" i="6"/>
  <c r="G10" i="6"/>
  <c r="G11" i="6"/>
  <c r="H18" i="6"/>
  <c r="G12" i="6"/>
  <c r="I18" i="6"/>
  <c r="I10" i="6"/>
  <c r="H9" i="6"/>
  <c r="H13" i="6" s="1"/>
  <c r="H20" i="6"/>
  <c r="I20" i="6"/>
  <c r="H27" i="6"/>
  <c r="I27" i="6"/>
  <c r="H29" i="6"/>
  <c r="I29" i="6"/>
  <c r="G26" i="6"/>
  <c r="G28" i="6"/>
  <c r="H26" i="6"/>
  <c r="H28" i="6"/>
  <c r="G17" i="6"/>
  <c r="G19" i="6"/>
  <c r="H17" i="6"/>
  <c r="H19" i="6"/>
  <c r="F45" i="1"/>
  <c r="H45" i="1" s="1"/>
  <c r="F47" i="1"/>
  <c r="H47" i="1" s="1"/>
  <c r="F46" i="1"/>
  <c r="H46" i="1" s="1"/>
  <c r="F44" i="1"/>
  <c r="H44" i="1" s="1"/>
  <c r="F43" i="1"/>
  <c r="F42" i="1"/>
  <c r="H42" i="1" s="1"/>
  <c r="C48" i="1"/>
  <c r="F52" i="1"/>
  <c r="G52" i="1" s="1"/>
  <c r="F53" i="1"/>
  <c r="G53" i="1" s="1"/>
  <c r="F54" i="1"/>
  <c r="H54" i="1" s="1"/>
  <c r="G13" i="6" l="1"/>
  <c r="H21" i="6"/>
  <c r="I13" i="6"/>
  <c r="I30" i="6"/>
  <c r="I21" i="6"/>
  <c r="G21" i="6"/>
  <c r="H30" i="6"/>
  <c r="G30" i="6"/>
  <c r="G45" i="1"/>
  <c r="G54" i="1"/>
  <c r="F48" i="1"/>
  <c r="H52" i="1"/>
  <c r="G43" i="1"/>
  <c r="H43" i="1"/>
  <c r="H48" i="1" s="1"/>
  <c r="G44" i="1"/>
  <c r="G46" i="1"/>
  <c r="G42" i="1"/>
  <c r="G47" i="1"/>
  <c r="H53" i="1"/>
  <c r="G19" i="4"/>
  <c r="G18" i="4"/>
  <c r="G17" i="4"/>
  <c r="G16" i="4"/>
  <c r="G15" i="4"/>
  <c r="G7" i="4"/>
  <c r="G6" i="4"/>
  <c r="G5" i="4"/>
  <c r="G4" i="4"/>
  <c r="G3" i="4"/>
  <c r="G48" i="1" l="1"/>
  <c r="I19" i="4"/>
  <c r="I18" i="4"/>
  <c r="I17" i="4"/>
  <c r="I16" i="4"/>
  <c r="H15" i="4"/>
  <c r="D20" i="4"/>
  <c r="G8" i="4"/>
  <c r="I7" i="4"/>
  <c r="I6" i="4"/>
  <c r="I5" i="4"/>
  <c r="I4" i="4"/>
  <c r="I3" i="4"/>
  <c r="H7" i="4"/>
  <c r="H6" i="4"/>
  <c r="H5" i="4"/>
  <c r="H4" i="4"/>
  <c r="H3" i="4"/>
  <c r="D8" i="4"/>
  <c r="I8" i="4" l="1"/>
  <c r="H8" i="4"/>
  <c r="H16" i="4"/>
  <c r="H17" i="4"/>
  <c r="H18" i="4"/>
  <c r="H19" i="4"/>
  <c r="I15" i="4"/>
  <c r="I20" i="4" s="1"/>
  <c r="G20" i="4"/>
  <c r="F55" i="1"/>
  <c r="G55" i="1" s="1"/>
  <c r="H20" i="4" l="1"/>
  <c r="H55" i="1"/>
  <c r="C38" i="2" l="1"/>
  <c r="F37" i="2"/>
  <c r="H37" i="2" s="1"/>
  <c r="F36" i="2"/>
  <c r="H36" i="2" s="1"/>
  <c r="F35" i="2"/>
  <c r="H35" i="2" s="1"/>
  <c r="F34" i="2"/>
  <c r="H34" i="2" s="1"/>
  <c r="F33" i="2"/>
  <c r="H33" i="2" s="1"/>
  <c r="C27" i="2"/>
  <c r="F26" i="2"/>
  <c r="H26" i="2" s="1"/>
  <c r="F25" i="2"/>
  <c r="H25" i="2" s="1"/>
  <c r="F24" i="2"/>
  <c r="H24" i="2" s="1"/>
  <c r="F23" i="2"/>
  <c r="G23" i="2" s="1"/>
  <c r="F22" i="2"/>
  <c r="C8" i="2"/>
  <c r="F7" i="2"/>
  <c r="H7" i="2" s="1"/>
  <c r="F6" i="2"/>
  <c r="G6" i="2" s="1"/>
  <c r="F5" i="2"/>
  <c r="H5" i="2" s="1"/>
  <c r="F4" i="2"/>
  <c r="H4" i="2" s="1"/>
  <c r="F3" i="2"/>
  <c r="C27" i="1"/>
  <c r="F26" i="1"/>
  <c r="H26" i="1" s="1"/>
  <c r="F25" i="1"/>
  <c r="G25" i="1" s="1"/>
  <c r="F24" i="1"/>
  <c r="G24" i="1" s="1"/>
  <c r="F23" i="1"/>
  <c r="H23" i="1" s="1"/>
  <c r="F22" i="1"/>
  <c r="C17" i="1"/>
  <c r="F16" i="1"/>
  <c r="H16" i="1" s="1"/>
  <c r="F15" i="1"/>
  <c r="H15" i="1" s="1"/>
  <c r="F14" i="1"/>
  <c r="H14" i="1" s="1"/>
  <c r="F13" i="1"/>
  <c r="H13" i="1" s="1"/>
  <c r="F12" i="1"/>
  <c r="G12" i="1" s="1"/>
  <c r="H24" i="1" l="1"/>
  <c r="H6" i="2"/>
  <c r="G37" i="2"/>
  <c r="H38" i="2"/>
  <c r="G33" i="2"/>
  <c r="F38" i="2"/>
  <c r="G35" i="2"/>
  <c r="G36" i="2"/>
  <c r="G34" i="2"/>
  <c r="F27" i="2"/>
  <c r="H23" i="2"/>
  <c r="G24" i="2"/>
  <c r="G22" i="2"/>
  <c r="G26" i="2"/>
  <c r="H22" i="2"/>
  <c r="G25" i="2"/>
  <c r="F8" i="2"/>
  <c r="G7" i="2"/>
  <c r="G5" i="2"/>
  <c r="G4" i="2"/>
  <c r="G3" i="2"/>
  <c r="H3" i="2"/>
  <c r="F27" i="1"/>
  <c r="H25" i="1"/>
  <c r="G22" i="1"/>
  <c r="G26" i="1"/>
  <c r="H22" i="1"/>
  <c r="G23" i="1"/>
  <c r="F17" i="1"/>
  <c r="G16" i="1"/>
  <c r="H12" i="1"/>
  <c r="H17" i="1" s="1"/>
  <c r="G14" i="1"/>
  <c r="G13" i="1"/>
  <c r="G15" i="1"/>
  <c r="C8" i="1"/>
  <c r="F7" i="1"/>
  <c r="H7" i="1" s="1"/>
  <c r="F6" i="1"/>
  <c r="G6" i="1" s="1"/>
  <c r="F5" i="1"/>
  <c r="G5" i="1" s="1"/>
  <c r="F4" i="1"/>
  <c r="H4" i="1" s="1"/>
  <c r="F3" i="1"/>
  <c r="C38" i="1"/>
  <c r="F37" i="1"/>
  <c r="H37" i="1" s="1"/>
  <c r="F36" i="1"/>
  <c r="H36" i="1" s="1"/>
  <c r="F35" i="1"/>
  <c r="H35" i="1" s="1"/>
  <c r="F34" i="1"/>
  <c r="H34" i="1" s="1"/>
  <c r="F33" i="1"/>
  <c r="H33" i="1" s="1"/>
  <c r="C57" i="1"/>
  <c r="F56" i="1"/>
  <c r="G56" i="1" s="1"/>
  <c r="H27" i="1" l="1"/>
  <c r="F38" i="1"/>
  <c r="H27" i="2"/>
  <c r="H8" i="2"/>
  <c r="G8" i="2"/>
  <c r="G38" i="2"/>
  <c r="G27" i="2"/>
  <c r="G27" i="1"/>
  <c r="G17" i="1"/>
  <c r="G34" i="1"/>
  <c r="F8" i="1"/>
  <c r="H6" i="1"/>
  <c r="H5" i="1"/>
  <c r="G3" i="1"/>
  <c r="H3" i="1"/>
  <c r="G4" i="1"/>
  <c r="G7" i="1"/>
  <c r="H38" i="1"/>
  <c r="G35" i="1"/>
  <c r="G36" i="1"/>
  <c r="G33" i="1"/>
  <c r="G37" i="1"/>
  <c r="F57" i="1"/>
  <c r="H56" i="1"/>
  <c r="H8" i="1" l="1"/>
  <c r="G38" i="1"/>
  <c r="G8" i="1"/>
  <c r="H57" i="1"/>
  <c r="G57" i="1"/>
</calcChain>
</file>

<file path=xl/sharedStrings.xml><?xml version="1.0" encoding="utf-8"?>
<sst xmlns="http://schemas.openxmlformats.org/spreadsheetml/2006/main" count="1403" uniqueCount="72">
  <si>
    <t>Proceso</t>
  </si>
  <si>
    <t>t. llegada</t>
  </si>
  <si>
    <t>t</t>
  </si>
  <si>
    <t>Inicio</t>
  </si>
  <si>
    <t>Fin</t>
  </si>
  <si>
    <t>T</t>
  </si>
  <si>
    <t>E</t>
  </si>
  <si>
    <t>P1</t>
  </si>
  <si>
    <t>P2</t>
  </si>
  <si>
    <t>P3</t>
  </si>
  <si>
    <t>P4</t>
  </si>
  <si>
    <t>P5</t>
  </si>
  <si>
    <t>q=1</t>
  </si>
  <si>
    <t>A</t>
  </si>
  <si>
    <t>B</t>
  </si>
  <si>
    <t>C</t>
  </si>
  <si>
    <t>D</t>
  </si>
  <si>
    <t>q=3</t>
  </si>
  <si>
    <t>llegada</t>
  </si>
  <si>
    <t>inicio</t>
  </si>
  <si>
    <t>fin</t>
  </si>
  <si>
    <t xml:space="preserve">a=2 </t>
  </si>
  <si>
    <t>b=1</t>
  </si>
  <si>
    <t>P (T/t)</t>
  </si>
  <si>
    <t>E (T-t)</t>
  </si>
  <si>
    <t>Round Robin (RR) q=1</t>
  </si>
  <si>
    <t>Round Robin (RR) q=3</t>
  </si>
  <si>
    <t>Shortest Process Next (SPN)</t>
  </si>
  <si>
    <t>Highest response ratio next (HRRN)</t>
  </si>
  <si>
    <t>Priority Scheduling (no-apropiativa)</t>
  </si>
  <si>
    <t>Priority Scheduling (apropiativa)</t>
  </si>
  <si>
    <t>Prioridad</t>
  </si>
  <si>
    <t>Llegada</t>
  </si>
  <si>
    <t>Ejercicio</t>
  </si>
  <si>
    <t>Dado el siguiente conjunto de procesos:</t>
  </si>
  <si>
    <t xml:space="preserve">Procesos </t>
  </si>
  <si>
    <t xml:space="preserve">Llegada </t>
  </si>
  <si>
    <t>Duración</t>
  </si>
  <si>
    <t>P</t>
  </si>
  <si>
    <t>R</t>
  </si>
  <si>
    <t>Shortest Remaining Time (SRT)</t>
  </si>
  <si>
    <t>First Come First Served (FCFS)</t>
  </si>
  <si>
    <t>Las letras en azul muestran la cola en espera</t>
  </si>
  <si>
    <t>El número en rojo indica la prioridad</t>
  </si>
  <si>
    <t>q=2</t>
  </si>
  <si>
    <t>q=5</t>
  </si>
  <si>
    <t>a) Aplicar RR con q=1, q=3 y q=5.</t>
  </si>
  <si>
    <t>a) Aplicar RR con q=1, q=3 y q=5 (considerar que el cambio de contexto emplea un tick) .</t>
  </si>
  <si>
    <t>P6</t>
  </si>
  <si>
    <t>b) Realice un diagrama de Gantt que represente el uso del procesador por los procesos.</t>
  </si>
  <si>
    <t>COLA 3: FIFO</t>
  </si>
  <si>
    <t>COLA 1: RR q=1</t>
  </si>
  <si>
    <t>COLA 2: RR q=2</t>
  </si>
  <si>
    <t>Procesos</t>
  </si>
  <si>
    <t>Prioridades apropiativo</t>
  </si>
  <si>
    <t>PR3=(5+8)/8=1,625</t>
  </si>
  <si>
    <t>PR4=(3+4)/4=1,75</t>
  </si>
  <si>
    <t>PR5=(2+5)/5=1,4</t>
  </si>
  <si>
    <t>PR3=(9+8)/8=2,125</t>
  </si>
  <si>
    <t>PR5=(6+5)/5=2,2</t>
  </si>
  <si>
    <t>Selfish Round RobinR</t>
  </si>
  <si>
    <t>Round Robin</t>
  </si>
  <si>
    <t>R (t/T)</t>
  </si>
  <si>
    <t>Prioridades</t>
  </si>
  <si>
    <t>Tiempo</t>
  </si>
  <si>
    <t>Ejercicios</t>
  </si>
  <si>
    <t xml:space="preserve">Multicolas con retroalimentación </t>
  </si>
  <si>
    <t>Cola 1: RR (q=1)</t>
  </si>
  <si>
    <t>Cola 2: RR (q=2)</t>
  </si>
  <si>
    <t>Cola 3: RR (FCFS)</t>
  </si>
  <si>
    <t>Retroalimentación multinivel con 3 colas</t>
  </si>
  <si>
    <t xml:space="preserve">P5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</si>
</sst>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>
    <font>
      <sz val="11"/>
      <color theme="1"/>
      <name val="Calibri"/>
      <family val="2"/>
      <scheme val="minor"/>
    </font>
    <font>
      <sz val="12"/>
      <color rgb="FF424242"/>
      <name val="Segoe UI"/>
      <family val="2"/>
    </font>
    <font>
      <sz val="12"/>
      <color rgb="FF444E5C"/>
      <name val="Segoe UI"/>
      <family val="2"/>
    </font>
    <font>
      <sz val="11"/>
      <color rgb="FF424242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</font>
    <font>
      <sz val="11"/>
      <color theme="4" tint="-0.249977111117893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70C0"/>
      <name val="Calibri"/>
      <family val="2"/>
    </font>
    <font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70C0"/>
      <name val="Segoe UI"/>
      <family val="2"/>
    </font>
    <font>
      <sz val="10"/>
      <color rgb="FF0070C0"/>
      <name val="Calibri"/>
      <family val="2"/>
      <scheme val="minor"/>
    </font>
    <font>
      <sz val="10"/>
      <color rgb="FF0070C0"/>
      <name val="Segoe UI"/>
      <family val="2"/>
    </font>
    <font>
      <sz val="1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ED0000"/>
      <name val="Calibri"/>
      <family val="2"/>
      <scheme val="minor"/>
    </font>
    <font>
      <sz val="12"/>
      <color rgb="FF424242"/>
      <name val="__Inter_aaf875"/>
    </font>
    <font>
      <sz val="12"/>
      <color rgb="FF444E5C"/>
      <name val="__Inter_aaf875"/>
    </font>
    <font>
      <sz val="11"/>
      <color rgb="FF007BB8"/>
      <name val="Calibri"/>
      <family val="2"/>
      <scheme val="minor"/>
    </font>
    <font>
      <sz val="9"/>
      <color rgb="FF007BB8"/>
      <name val="Calibri"/>
      <family val="2"/>
      <scheme val="minor"/>
    </font>
    <font>
      <sz val="8"/>
      <color rgb="FF424242"/>
      <name val="Calibri"/>
      <family val="2"/>
      <scheme val="minor"/>
    </font>
    <font>
      <sz val="8"/>
      <color rgb="FF444E5C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227ACB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8DA6FF"/>
      </left>
      <right style="medium">
        <color rgb="FF8DA6FF"/>
      </right>
      <top style="medium">
        <color rgb="FF8DA6FF"/>
      </top>
      <bottom style="medium">
        <color rgb="FF8DA6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horizontal="left"/>
    </xf>
    <xf numFmtId="0" fontId="0" fillId="10" borderId="0" xfId="0" applyFill="1"/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11" borderId="0" xfId="0" applyFill="1"/>
    <xf numFmtId="0" fontId="2" fillId="0" borderId="0" xfId="0" applyFont="1" applyAlignment="1">
      <alignment vertical="center" wrapText="1"/>
    </xf>
    <xf numFmtId="0" fontId="0" fillId="1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9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0" xfId="0" applyFill="1"/>
    <xf numFmtId="0" fontId="0" fillId="13" borderId="0" xfId="0" applyFill="1"/>
    <xf numFmtId="0" fontId="4" fillId="0" borderId="0" xfId="0" applyFont="1" applyAlignment="1">
      <alignment horizontal="left"/>
    </xf>
    <xf numFmtId="164" fontId="0" fillId="0" borderId="0" xfId="0" applyNumberFormat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0" fillId="2" borderId="7" xfId="0" applyFill="1" applyBorder="1" applyAlignment="1">
      <alignment horizontal="center"/>
    </xf>
    <xf numFmtId="0" fontId="14" fillId="2" borderId="0" xfId="0" applyFont="1" applyFill="1"/>
    <xf numFmtId="0" fontId="14" fillId="0" borderId="0" xfId="0" applyFont="1"/>
    <xf numFmtId="0" fontId="0" fillId="0" borderId="0" xfId="0" applyAlignment="1">
      <alignment vertical="top"/>
    </xf>
    <xf numFmtId="0" fontId="14" fillId="0" borderId="0" xfId="0" applyFont="1" applyAlignment="1">
      <alignment vertical="top"/>
    </xf>
    <xf numFmtId="0" fontId="14" fillId="14" borderId="0" xfId="0" applyFont="1" applyFill="1"/>
    <xf numFmtId="0" fontId="15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center" wrapText="1"/>
    </xf>
    <xf numFmtId="0" fontId="5" fillId="0" borderId="0" xfId="0" applyFont="1"/>
    <xf numFmtId="0" fontId="13" fillId="0" borderId="0" xfId="0" applyFont="1" applyAlignment="1">
      <alignment horizontal="left"/>
    </xf>
    <xf numFmtId="0" fontId="0" fillId="15" borderId="0" xfId="0" applyFill="1"/>
    <xf numFmtId="0" fontId="14" fillId="0" borderId="0" xfId="0" applyFont="1" applyAlignment="1">
      <alignment vertical="top" wrapText="1"/>
    </xf>
    <xf numFmtId="2" fontId="0" fillId="0" borderId="0" xfId="0" applyNumberFormat="1"/>
    <xf numFmtId="2" fontId="0" fillId="2" borderId="7" xfId="0" applyNumberFormat="1" applyFill="1" applyBorder="1" applyAlignment="1">
      <alignment horizontal="center"/>
    </xf>
    <xf numFmtId="0" fontId="18" fillId="0" borderId="0" xfId="0" applyFont="1"/>
    <xf numFmtId="0" fontId="7" fillId="0" borderId="0" xfId="0" applyFo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9" fillId="0" borderId="0" xfId="0" applyFont="1"/>
    <xf numFmtId="0" fontId="9" fillId="0" borderId="0" xfId="0" applyFont="1" applyAlignment="1">
      <alignment horizontal="left"/>
    </xf>
    <xf numFmtId="0" fontId="0" fillId="16" borderId="0" xfId="0" applyFill="1"/>
    <xf numFmtId="0" fontId="20" fillId="0" borderId="0" xfId="0" applyFont="1"/>
    <xf numFmtId="0" fontId="6" fillId="0" borderId="0" xfId="0" applyFont="1"/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0" fillId="5" borderId="0" xfId="0" applyFill="1" applyAlignment="1">
      <alignment horizontal="left"/>
    </xf>
    <xf numFmtId="0" fontId="0" fillId="13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3" fillId="0" borderId="8" xfId="0" applyFont="1" applyBorder="1" applyAlignment="1">
      <alignment horizontal="center"/>
    </xf>
    <xf numFmtId="164" fontId="13" fillId="0" borderId="8" xfId="0" applyNumberFormat="1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2" fontId="13" fillId="0" borderId="8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24" fillId="0" borderId="0" xfId="0" applyFont="1"/>
    <xf numFmtId="0" fontId="2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26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10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18" borderId="0" xfId="0" applyFill="1" applyAlignment="1">
      <alignment horizontal="center"/>
    </xf>
    <xf numFmtId="164" fontId="21" fillId="0" borderId="0" xfId="0" applyNumberFormat="1" applyFont="1" applyAlignment="1">
      <alignment horizontal="center"/>
    </xf>
    <xf numFmtId="0" fontId="0" fillId="9" borderId="0" xfId="0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7" fillId="0" borderId="0" xfId="0" applyFont="1" applyAlignment="1">
      <alignment horizontal="center"/>
    </xf>
    <xf numFmtId="0" fontId="0" fillId="15" borderId="0" xfId="0" applyFill="1" applyAlignment="1">
      <alignment horizontal="center" vertical="top"/>
    </xf>
    <xf numFmtId="0" fontId="0" fillId="11" borderId="0" xfId="0" applyFill="1" applyAlignment="1">
      <alignment horizontal="center" vertical="top"/>
    </xf>
    <xf numFmtId="0" fontId="0" fillId="12" borderId="0" xfId="0" applyFill="1" applyAlignment="1">
      <alignment horizontal="center" vertical="top"/>
    </xf>
    <xf numFmtId="0" fontId="0" fillId="5" borderId="6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7" fillId="3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7" fillId="3" borderId="0" xfId="0" applyFont="1" applyFill="1" applyAlignment="1">
      <alignment horizontal="center"/>
    </xf>
    <xf numFmtId="0" fontId="0" fillId="6" borderId="0" xfId="0" applyFill="1" applyAlignment="1">
      <alignment horizontal="center" vertical="top"/>
    </xf>
    <xf numFmtId="0" fontId="0" fillId="15" borderId="0" xfId="0" applyFill="1" applyAlignment="1">
      <alignment horizontal="center" vertical="top"/>
    </xf>
    <xf numFmtId="0" fontId="0" fillId="13" borderId="0" xfId="0" applyFill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9" borderId="0" xfId="0" applyFill="1" applyAlignment="1">
      <alignment horizontal="center" vertical="top"/>
    </xf>
    <xf numFmtId="0" fontId="0" fillId="11" borderId="0" xfId="0" applyFill="1" applyAlignment="1">
      <alignment horizontal="center" vertical="top"/>
    </xf>
    <xf numFmtId="0" fontId="0" fillId="15" borderId="0" xfId="0" applyFill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7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208359</xdr:colOff>
      <xdr:row>52</xdr:row>
      <xdr:rowOff>5953</xdr:rowOff>
    </xdr:from>
    <xdr:to>
      <xdr:col>20</xdr:col>
      <xdr:colOff>215566</xdr:colOff>
      <xdr:row>57</xdr:row>
      <xdr:rowOff>10026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6123885" y="9972111"/>
          <a:ext cx="448365" cy="956573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</xdr:colOff>
      <xdr:row>52</xdr:row>
      <xdr:rowOff>17860</xdr:rowOff>
    </xdr:from>
    <xdr:to>
      <xdr:col>27</xdr:col>
      <xdr:colOff>5013</xdr:colOff>
      <xdr:row>55</xdr:row>
      <xdr:rowOff>5013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7024374" y="9984018"/>
          <a:ext cx="881376" cy="558653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216776</xdr:colOff>
      <xdr:row>13</xdr:row>
      <xdr:rowOff>9853</xdr:rowOff>
    </xdr:from>
    <xdr:to>
      <xdr:col>9</xdr:col>
      <xdr:colOff>216776</xdr:colOff>
      <xdr:row>14</xdr:row>
      <xdr:rowOff>3284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4145017" y="2486353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1314</xdr:colOff>
      <xdr:row>13</xdr:row>
      <xdr:rowOff>7882</xdr:rowOff>
    </xdr:from>
    <xdr:to>
      <xdr:col>12</xdr:col>
      <xdr:colOff>1314</xdr:colOff>
      <xdr:row>14</xdr:row>
      <xdr:rowOff>1313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4589736" y="2484382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219403</xdr:colOff>
      <xdr:row>13</xdr:row>
      <xdr:rowOff>2627</xdr:rowOff>
    </xdr:from>
    <xdr:to>
      <xdr:col>13</xdr:col>
      <xdr:colOff>219403</xdr:colOff>
      <xdr:row>13</xdr:row>
      <xdr:rowOff>186558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5027886" y="2479127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217433</xdr:colOff>
      <xdr:row>13</xdr:row>
      <xdr:rowOff>656</xdr:rowOff>
    </xdr:from>
    <xdr:to>
      <xdr:col>15</xdr:col>
      <xdr:colOff>217433</xdr:colOff>
      <xdr:row>13</xdr:row>
      <xdr:rowOff>184587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5466036" y="2477156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218746</xdr:colOff>
      <xdr:row>13</xdr:row>
      <xdr:rowOff>1970</xdr:rowOff>
    </xdr:from>
    <xdr:to>
      <xdr:col>16</xdr:col>
      <xdr:colOff>218746</xdr:colOff>
      <xdr:row>13</xdr:row>
      <xdr:rowOff>185901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V="1">
          <a:off x="5687410" y="247847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216775</xdr:colOff>
      <xdr:row>23</xdr:row>
      <xdr:rowOff>190499</xdr:rowOff>
    </xdr:from>
    <xdr:to>
      <xdr:col>9</xdr:col>
      <xdr:colOff>216775</xdr:colOff>
      <xdr:row>24</xdr:row>
      <xdr:rowOff>183930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4145016" y="463112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1313</xdr:colOff>
      <xdr:row>24</xdr:row>
      <xdr:rowOff>7881</xdr:rowOff>
    </xdr:from>
    <xdr:to>
      <xdr:col>12</xdr:col>
      <xdr:colOff>1313</xdr:colOff>
      <xdr:row>25</xdr:row>
      <xdr:rowOff>1312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4589735" y="4639002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2627</xdr:colOff>
      <xdr:row>24</xdr:row>
      <xdr:rowOff>2626</xdr:rowOff>
    </xdr:from>
    <xdr:to>
      <xdr:col>14</xdr:col>
      <xdr:colOff>2627</xdr:colOff>
      <xdr:row>24</xdr:row>
      <xdr:rowOff>186557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5031170" y="4633747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3940</xdr:colOff>
      <xdr:row>24</xdr:row>
      <xdr:rowOff>3940</xdr:rowOff>
    </xdr:from>
    <xdr:to>
      <xdr:col>16</xdr:col>
      <xdr:colOff>3940</xdr:colOff>
      <xdr:row>24</xdr:row>
      <xdr:rowOff>187871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5472604" y="463506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1970</xdr:colOff>
      <xdr:row>24</xdr:row>
      <xdr:rowOff>5254</xdr:rowOff>
    </xdr:from>
    <xdr:to>
      <xdr:col>17</xdr:col>
      <xdr:colOff>1970</xdr:colOff>
      <xdr:row>24</xdr:row>
      <xdr:rowOff>189185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V="1">
          <a:off x="5690694" y="4636375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220060</xdr:colOff>
      <xdr:row>34</xdr:row>
      <xdr:rowOff>6569</xdr:rowOff>
    </xdr:from>
    <xdr:to>
      <xdr:col>9</xdr:col>
      <xdr:colOff>220060</xdr:colOff>
      <xdr:row>35</xdr:row>
      <xdr:rowOff>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4148301" y="654269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1313</xdr:colOff>
      <xdr:row>34</xdr:row>
      <xdr:rowOff>7883</xdr:rowOff>
    </xdr:from>
    <xdr:to>
      <xdr:col>12</xdr:col>
      <xdr:colOff>1313</xdr:colOff>
      <xdr:row>35</xdr:row>
      <xdr:rowOff>1314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4589735" y="6544004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219402</xdr:colOff>
      <xdr:row>34</xdr:row>
      <xdr:rowOff>9197</xdr:rowOff>
    </xdr:from>
    <xdr:to>
      <xdr:col>13</xdr:col>
      <xdr:colOff>219402</xdr:colOff>
      <xdr:row>35</xdr:row>
      <xdr:rowOff>2628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V="1">
          <a:off x="5027885" y="654531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655</xdr:colOff>
      <xdr:row>34</xdr:row>
      <xdr:rowOff>10510</xdr:rowOff>
    </xdr:from>
    <xdr:to>
      <xdr:col>16</xdr:col>
      <xdr:colOff>655</xdr:colOff>
      <xdr:row>35</xdr:row>
      <xdr:rowOff>3941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V="1">
          <a:off x="5469319" y="654663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1969</xdr:colOff>
      <xdr:row>34</xdr:row>
      <xdr:rowOff>5255</xdr:rowOff>
    </xdr:from>
    <xdr:to>
      <xdr:col>17</xdr:col>
      <xdr:colOff>1969</xdr:colOff>
      <xdr:row>34</xdr:row>
      <xdr:rowOff>189186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5690693" y="6541376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3284</xdr:colOff>
      <xdr:row>43</xdr:row>
      <xdr:rowOff>9853</xdr:rowOff>
    </xdr:from>
    <xdr:to>
      <xdr:col>10</xdr:col>
      <xdr:colOff>3284</xdr:colOff>
      <xdr:row>44</xdr:row>
      <xdr:rowOff>3284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4151586" y="8260474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7883</xdr:colOff>
      <xdr:row>43</xdr:row>
      <xdr:rowOff>14451</xdr:rowOff>
    </xdr:from>
    <xdr:to>
      <xdr:col>12</xdr:col>
      <xdr:colOff>7883</xdr:colOff>
      <xdr:row>44</xdr:row>
      <xdr:rowOff>7882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4596305" y="8265072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2628</xdr:colOff>
      <xdr:row>43</xdr:row>
      <xdr:rowOff>9195</xdr:rowOff>
    </xdr:from>
    <xdr:to>
      <xdr:col>14</xdr:col>
      <xdr:colOff>2628</xdr:colOff>
      <xdr:row>44</xdr:row>
      <xdr:rowOff>2626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5031171" y="8259816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3942</xdr:colOff>
      <xdr:row>43</xdr:row>
      <xdr:rowOff>7224</xdr:rowOff>
    </xdr:from>
    <xdr:to>
      <xdr:col>15</xdr:col>
      <xdr:colOff>3942</xdr:colOff>
      <xdr:row>44</xdr:row>
      <xdr:rowOff>655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5252545" y="8257845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5255</xdr:colOff>
      <xdr:row>43</xdr:row>
      <xdr:rowOff>5254</xdr:rowOff>
    </xdr:from>
    <xdr:to>
      <xdr:col>16</xdr:col>
      <xdr:colOff>5255</xdr:colOff>
      <xdr:row>43</xdr:row>
      <xdr:rowOff>189185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V="1">
          <a:off x="5473919" y="8255875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3285</xdr:colOff>
      <xdr:row>43</xdr:row>
      <xdr:rowOff>13136</xdr:rowOff>
    </xdr:from>
    <xdr:to>
      <xdr:col>17</xdr:col>
      <xdr:colOff>3285</xdr:colOff>
      <xdr:row>44</xdr:row>
      <xdr:rowOff>6567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V="1">
          <a:off x="5692009" y="8263757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3284</xdr:colOff>
      <xdr:row>53</xdr:row>
      <xdr:rowOff>3284</xdr:rowOff>
    </xdr:from>
    <xdr:to>
      <xdr:col>10</xdr:col>
      <xdr:colOff>3284</xdr:colOff>
      <xdr:row>53</xdr:row>
      <xdr:rowOff>187215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4151586" y="10158905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1314</xdr:colOff>
      <xdr:row>53</xdr:row>
      <xdr:rowOff>7882</xdr:rowOff>
    </xdr:from>
    <xdr:to>
      <xdr:col>12</xdr:col>
      <xdr:colOff>1314</xdr:colOff>
      <xdr:row>54</xdr:row>
      <xdr:rowOff>1313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4589736" y="10163503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2627</xdr:colOff>
      <xdr:row>53</xdr:row>
      <xdr:rowOff>2626</xdr:rowOff>
    </xdr:from>
    <xdr:to>
      <xdr:col>14</xdr:col>
      <xdr:colOff>2627</xdr:colOff>
      <xdr:row>53</xdr:row>
      <xdr:rowOff>186557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5031170" y="10158247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656</xdr:colOff>
      <xdr:row>53</xdr:row>
      <xdr:rowOff>3940</xdr:rowOff>
    </xdr:from>
    <xdr:to>
      <xdr:col>16</xdr:col>
      <xdr:colOff>656</xdr:colOff>
      <xdr:row>53</xdr:row>
      <xdr:rowOff>187871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V="1">
          <a:off x="5469320" y="1015956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1970</xdr:colOff>
      <xdr:row>53</xdr:row>
      <xdr:rowOff>1970</xdr:rowOff>
    </xdr:from>
    <xdr:to>
      <xdr:col>17</xdr:col>
      <xdr:colOff>1970</xdr:colOff>
      <xdr:row>53</xdr:row>
      <xdr:rowOff>185901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flipV="1">
          <a:off x="5690694" y="1015759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</xdr:row>
      <xdr:rowOff>0</xdr:rowOff>
    </xdr:from>
    <xdr:to>
      <xdr:col>10</xdr:col>
      <xdr:colOff>0</xdr:colOff>
      <xdr:row>4</xdr:row>
      <xdr:rowOff>183931</xdr:rowOff>
    </xdr:to>
    <xdr:cxnSp macro="">
      <xdr:nvCxnSpPr>
        <xdr:cNvPr id="32" name="Conector recto de flecha 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4150895" y="762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7018</xdr:colOff>
      <xdr:row>4</xdr:row>
      <xdr:rowOff>2005</xdr:rowOff>
    </xdr:from>
    <xdr:to>
      <xdr:col>12</xdr:col>
      <xdr:colOff>7018</xdr:colOff>
      <xdr:row>4</xdr:row>
      <xdr:rowOff>185936</xdr:rowOff>
    </xdr:to>
    <xdr:cxnSp macro="">
      <xdr:nvCxnSpPr>
        <xdr:cNvPr id="33" name="Conector recto de flecha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V="1">
          <a:off x="4599071" y="764005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219576</xdr:colOff>
      <xdr:row>3</xdr:row>
      <xdr:rowOff>189497</xdr:rowOff>
    </xdr:from>
    <xdr:to>
      <xdr:col>13</xdr:col>
      <xdr:colOff>219576</xdr:colOff>
      <xdr:row>4</xdr:row>
      <xdr:rowOff>182928</xdr:rowOff>
    </xdr:to>
    <xdr:cxnSp macro="">
      <xdr:nvCxnSpPr>
        <xdr:cNvPr id="34" name="Conector recto de flecha 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V="1">
          <a:off x="5032208" y="760997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6016</xdr:colOff>
      <xdr:row>4</xdr:row>
      <xdr:rowOff>1002</xdr:rowOff>
    </xdr:from>
    <xdr:to>
      <xdr:col>16</xdr:col>
      <xdr:colOff>6016</xdr:colOff>
      <xdr:row>4</xdr:row>
      <xdr:rowOff>184933</xdr:rowOff>
    </xdr:to>
    <xdr:cxnSp macro="">
      <xdr:nvCxnSpPr>
        <xdr:cNvPr id="35" name="Conector recto de flecha 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 flipV="1">
          <a:off x="5480384" y="763002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3008</xdr:colOff>
      <xdr:row>3</xdr:row>
      <xdr:rowOff>188494</xdr:rowOff>
    </xdr:from>
    <xdr:to>
      <xdr:col>17</xdr:col>
      <xdr:colOff>3008</xdr:colOff>
      <xdr:row>4</xdr:row>
      <xdr:rowOff>181925</xdr:rowOff>
    </xdr:to>
    <xdr:cxnSp macro="">
      <xdr:nvCxnSpPr>
        <xdr:cNvPr id="36" name="Conector recto de flecha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V="1">
          <a:off x="5697955" y="759994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</xdr:row>
      <xdr:rowOff>0</xdr:rowOff>
    </xdr:from>
    <xdr:to>
      <xdr:col>13</xdr:col>
      <xdr:colOff>0</xdr:colOff>
      <xdr:row>1</xdr:row>
      <xdr:rowOff>183931</xdr:rowOff>
    </xdr:to>
    <xdr:cxnSp macro="">
      <xdr:nvCxnSpPr>
        <xdr:cNvPr id="2" name="Conector recto de flecha 3">
          <a:extLst>
            <a:ext uri="{FF2B5EF4-FFF2-40B4-BE49-F238E27FC236}">
              <a16:creationId xmlns:a16="http://schemas.microsoft.com/office/drawing/2014/main" id="{D6BD3FE1-9A5B-4A57-A6C9-5A0FF1D3AB1B}"/>
            </a:ext>
          </a:extLst>
        </xdr:cNvPr>
        <xdr:cNvCxnSpPr/>
      </xdr:nvCxnSpPr>
      <xdr:spPr>
        <a:xfrm flipV="1">
          <a:off x="4812632" y="190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</xdr:row>
      <xdr:rowOff>0</xdr:rowOff>
    </xdr:from>
    <xdr:to>
      <xdr:col>19</xdr:col>
      <xdr:colOff>0</xdr:colOff>
      <xdr:row>1</xdr:row>
      <xdr:rowOff>183931</xdr:rowOff>
    </xdr:to>
    <xdr:cxnSp macro="">
      <xdr:nvCxnSpPr>
        <xdr:cNvPr id="5" name="Conector recto de flecha 3">
          <a:extLst>
            <a:ext uri="{FF2B5EF4-FFF2-40B4-BE49-F238E27FC236}">
              <a16:creationId xmlns:a16="http://schemas.microsoft.com/office/drawing/2014/main" id="{4FFE9010-1D95-4C1D-BD7A-936CAEA3AD80}"/>
            </a:ext>
          </a:extLst>
        </xdr:cNvPr>
        <xdr:cNvCxnSpPr/>
      </xdr:nvCxnSpPr>
      <xdr:spPr>
        <a:xfrm flipV="1">
          <a:off x="6136105" y="190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</xdr:row>
      <xdr:rowOff>0</xdr:rowOff>
    </xdr:from>
    <xdr:to>
      <xdr:col>27</xdr:col>
      <xdr:colOff>0</xdr:colOff>
      <xdr:row>1</xdr:row>
      <xdr:rowOff>183931</xdr:rowOff>
    </xdr:to>
    <xdr:cxnSp macro="">
      <xdr:nvCxnSpPr>
        <xdr:cNvPr id="37" name="Conector recto de flecha 3">
          <a:extLst>
            <a:ext uri="{FF2B5EF4-FFF2-40B4-BE49-F238E27FC236}">
              <a16:creationId xmlns:a16="http://schemas.microsoft.com/office/drawing/2014/main" id="{264B7CCD-7C86-48CF-873B-43A009D95C9B}"/>
            </a:ext>
          </a:extLst>
        </xdr:cNvPr>
        <xdr:cNvCxnSpPr/>
      </xdr:nvCxnSpPr>
      <xdr:spPr>
        <a:xfrm flipV="1">
          <a:off x="7900737" y="190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</xdr:row>
      <xdr:rowOff>0</xdr:rowOff>
    </xdr:from>
    <xdr:to>
      <xdr:col>31</xdr:col>
      <xdr:colOff>0</xdr:colOff>
      <xdr:row>1</xdr:row>
      <xdr:rowOff>183931</xdr:rowOff>
    </xdr:to>
    <xdr:cxnSp macro="">
      <xdr:nvCxnSpPr>
        <xdr:cNvPr id="38" name="Conector recto de flecha 3">
          <a:extLst>
            <a:ext uri="{FF2B5EF4-FFF2-40B4-BE49-F238E27FC236}">
              <a16:creationId xmlns:a16="http://schemas.microsoft.com/office/drawing/2014/main" id="{DAB4FCFB-B780-4BA1-B36B-3E59057A24A0}"/>
            </a:ext>
          </a:extLst>
        </xdr:cNvPr>
        <xdr:cNvCxnSpPr/>
      </xdr:nvCxnSpPr>
      <xdr:spPr>
        <a:xfrm flipV="1">
          <a:off x="8783053" y="190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220579</xdr:colOff>
      <xdr:row>1</xdr:row>
      <xdr:rowOff>0</xdr:rowOff>
    </xdr:from>
    <xdr:to>
      <xdr:col>35</xdr:col>
      <xdr:colOff>220579</xdr:colOff>
      <xdr:row>1</xdr:row>
      <xdr:rowOff>183931</xdr:rowOff>
    </xdr:to>
    <xdr:cxnSp macro="">
      <xdr:nvCxnSpPr>
        <xdr:cNvPr id="39" name="Conector recto de flecha 3">
          <a:extLst>
            <a:ext uri="{FF2B5EF4-FFF2-40B4-BE49-F238E27FC236}">
              <a16:creationId xmlns:a16="http://schemas.microsoft.com/office/drawing/2014/main" id="{81C4ADCD-2EED-4A4E-A2EF-63BDF2E2E0B0}"/>
            </a:ext>
          </a:extLst>
        </xdr:cNvPr>
        <xdr:cNvCxnSpPr/>
      </xdr:nvCxnSpPr>
      <xdr:spPr>
        <a:xfrm flipV="1">
          <a:off x="9885947" y="190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</xdr:row>
      <xdr:rowOff>0</xdr:rowOff>
    </xdr:from>
    <xdr:to>
      <xdr:col>14</xdr:col>
      <xdr:colOff>0</xdr:colOff>
      <xdr:row>10</xdr:row>
      <xdr:rowOff>183931</xdr:rowOff>
    </xdr:to>
    <xdr:cxnSp macro="">
      <xdr:nvCxnSpPr>
        <xdr:cNvPr id="40" name="Conector recto de flecha 3">
          <a:extLst>
            <a:ext uri="{FF2B5EF4-FFF2-40B4-BE49-F238E27FC236}">
              <a16:creationId xmlns:a16="http://schemas.microsoft.com/office/drawing/2014/main" id="{2BF8DACC-BD3A-401B-966E-C21EF873F013}"/>
            </a:ext>
          </a:extLst>
        </xdr:cNvPr>
        <xdr:cNvCxnSpPr/>
      </xdr:nvCxnSpPr>
      <xdr:spPr>
        <a:xfrm flipV="1">
          <a:off x="5033211" y="1905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10</xdr:row>
      <xdr:rowOff>0</xdr:rowOff>
    </xdr:from>
    <xdr:to>
      <xdr:col>29</xdr:col>
      <xdr:colOff>0</xdr:colOff>
      <xdr:row>10</xdr:row>
      <xdr:rowOff>183931</xdr:rowOff>
    </xdr:to>
    <xdr:cxnSp macro="">
      <xdr:nvCxnSpPr>
        <xdr:cNvPr id="41" name="Conector recto de flecha 3">
          <a:extLst>
            <a:ext uri="{FF2B5EF4-FFF2-40B4-BE49-F238E27FC236}">
              <a16:creationId xmlns:a16="http://schemas.microsoft.com/office/drawing/2014/main" id="{403F499F-5B22-4BE3-9A08-EF4652089E02}"/>
            </a:ext>
          </a:extLst>
        </xdr:cNvPr>
        <xdr:cNvCxnSpPr/>
      </xdr:nvCxnSpPr>
      <xdr:spPr>
        <a:xfrm flipV="1">
          <a:off x="8341895" y="1905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220579</xdr:colOff>
      <xdr:row>10</xdr:row>
      <xdr:rowOff>0</xdr:rowOff>
    </xdr:from>
    <xdr:to>
      <xdr:col>35</xdr:col>
      <xdr:colOff>220579</xdr:colOff>
      <xdr:row>10</xdr:row>
      <xdr:rowOff>183931</xdr:rowOff>
    </xdr:to>
    <xdr:cxnSp macro="">
      <xdr:nvCxnSpPr>
        <xdr:cNvPr id="42" name="Conector recto de flecha 3">
          <a:extLst>
            <a:ext uri="{FF2B5EF4-FFF2-40B4-BE49-F238E27FC236}">
              <a16:creationId xmlns:a16="http://schemas.microsoft.com/office/drawing/2014/main" id="{1745585E-1B6E-41AD-ADAA-523C5DF86CFC}"/>
            </a:ext>
          </a:extLst>
        </xdr:cNvPr>
        <xdr:cNvCxnSpPr/>
      </xdr:nvCxnSpPr>
      <xdr:spPr>
        <a:xfrm flipV="1">
          <a:off x="9885947" y="1905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10</xdr:row>
      <xdr:rowOff>0</xdr:rowOff>
    </xdr:from>
    <xdr:to>
      <xdr:col>30</xdr:col>
      <xdr:colOff>0</xdr:colOff>
      <xdr:row>10</xdr:row>
      <xdr:rowOff>183931</xdr:rowOff>
    </xdr:to>
    <xdr:cxnSp macro="">
      <xdr:nvCxnSpPr>
        <xdr:cNvPr id="43" name="Conector recto de flecha 3">
          <a:extLst>
            <a:ext uri="{FF2B5EF4-FFF2-40B4-BE49-F238E27FC236}">
              <a16:creationId xmlns:a16="http://schemas.microsoft.com/office/drawing/2014/main" id="{DFA1DEE4-30E8-495D-8888-507E83AA8A87}"/>
            </a:ext>
          </a:extLst>
        </xdr:cNvPr>
        <xdr:cNvCxnSpPr/>
      </xdr:nvCxnSpPr>
      <xdr:spPr>
        <a:xfrm flipV="1">
          <a:off x="8562474" y="1905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220578</xdr:colOff>
      <xdr:row>10</xdr:row>
      <xdr:rowOff>0</xdr:rowOff>
    </xdr:from>
    <xdr:to>
      <xdr:col>33</xdr:col>
      <xdr:colOff>220578</xdr:colOff>
      <xdr:row>10</xdr:row>
      <xdr:rowOff>183931</xdr:rowOff>
    </xdr:to>
    <xdr:cxnSp macro="">
      <xdr:nvCxnSpPr>
        <xdr:cNvPr id="44" name="Conector recto de flecha 3">
          <a:extLst>
            <a:ext uri="{FF2B5EF4-FFF2-40B4-BE49-F238E27FC236}">
              <a16:creationId xmlns:a16="http://schemas.microsoft.com/office/drawing/2014/main" id="{8CB7F6FC-BACE-4ED1-AB40-F3E746A7D862}"/>
            </a:ext>
          </a:extLst>
        </xdr:cNvPr>
        <xdr:cNvCxnSpPr/>
      </xdr:nvCxnSpPr>
      <xdr:spPr>
        <a:xfrm flipV="1">
          <a:off x="9444789" y="1905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0</xdr:colOff>
      <xdr:row>21</xdr:row>
      <xdr:rowOff>183931</xdr:rowOff>
    </xdr:to>
    <xdr:cxnSp macro="">
      <xdr:nvCxnSpPr>
        <xdr:cNvPr id="45" name="Conector recto de flecha 3">
          <a:extLst>
            <a:ext uri="{FF2B5EF4-FFF2-40B4-BE49-F238E27FC236}">
              <a16:creationId xmlns:a16="http://schemas.microsoft.com/office/drawing/2014/main" id="{C2E0BED1-E041-4B25-A943-9F9E83454B74}"/>
            </a:ext>
          </a:extLst>
        </xdr:cNvPr>
        <xdr:cNvCxnSpPr/>
      </xdr:nvCxnSpPr>
      <xdr:spPr>
        <a:xfrm flipV="1">
          <a:off x="4812632" y="4030579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21</xdr:row>
      <xdr:rowOff>0</xdr:rowOff>
    </xdr:from>
    <xdr:to>
      <xdr:col>25</xdr:col>
      <xdr:colOff>0</xdr:colOff>
      <xdr:row>21</xdr:row>
      <xdr:rowOff>183931</xdr:rowOff>
    </xdr:to>
    <xdr:cxnSp macro="">
      <xdr:nvCxnSpPr>
        <xdr:cNvPr id="46" name="Conector recto de flecha 3">
          <a:extLst>
            <a:ext uri="{FF2B5EF4-FFF2-40B4-BE49-F238E27FC236}">
              <a16:creationId xmlns:a16="http://schemas.microsoft.com/office/drawing/2014/main" id="{903A458D-91B0-4DB0-8D0F-4EBE601FE28F}"/>
            </a:ext>
          </a:extLst>
        </xdr:cNvPr>
        <xdr:cNvCxnSpPr/>
      </xdr:nvCxnSpPr>
      <xdr:spPr>
        <a:xfrm flipV="1">
          <a:off x="7459579" y="4030579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220579</xdr:colOff>
      <xdr:row>21</xdr:row>
      <xdr:rowOff>0</xdr:rowOff>
    </xdr:from>
    <xdr:to>
      <xdr:col>35</xdr:col>
      <xdr:colOff>220579</xdr:colOff>
      <xdr:row>21</xdr:row>
      <xdr:rowOff>183931</xdr:rowOff>
    </xdr:to>
    <xdr:cxnSp macro="">
      <xdr:nvCxnSpPr>
        <xdr:cNvPr id="47" name="Conector recto de flecha 3">
          <a:extLst>
            <a:ext uri="{FF2B5EF4-FFF2-40B4-BE49-F238E27FC236}">
              <a16:creationId xmlns:a16="http://schemas.microsoft.com/office/drawing/2014/main" id="{F5305845-07CA-4F3F-909C-48B52D47FD13}"/>
            </a:ext>
          </a:extLst>
        </xdr:cNvPr>
        <xdr:cNvCxnSpPr/>
      </xdr:nvCxnSpPr>
      <xdr:spPr>
        <a:xfrm flipV="1">
          <a:off x="9885947" y="4030579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21</xdr:row>
      <xdr:rowOff>0</xdr:rowOff>
    </xdr:from>
    <xdr:to>
      <xdr:col>32</xdr:col>
      <xdr:colOff>0</xdr:colOff>
      <xdr:row>21</xdr:row>
      <xdr:rowOff>183931</xdr:rowOff>
    </xdr:to>
    <xdr:cxnSp macro="">
      <xdr:nvCxnSpPr>
        <xdr:cNvPr id="48" name="Conector recto de flecha 3">
          <a:extLst>
            <a:ext uri="{FF2B5EF4-FFF2-40B4-BE49-F238E27FC236}">
              <a16:creationId xmlns:a16="http://schemas.microsoft.com/office/drawing/2014/main" id="{92353F1D-6DEA-4399-AB48-793ED936E7A3}"/>
            </a:ext>
          </a:extLst>
        </xdr:cNvPr>
        <xdr:cNvCxnSpPr/>
      </xdr:nvCxnSpPr>
      <xdr:spPr>
        <a:xfrm flipV="1">
          <a:off x="9003632" y="4030579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220578</xdr:colOff>
      <xdr:row>21</xdr:row>
      <xdr:rowOff>0</xdr:rowOff>
    </xdr:from>
    <xdr:to>
      <xdr:col>33</xdr:col>
      <xdr:colOff>220578</xdr:colOff>
      <xdr:row>21</xdr:row>
      <xdr:rowOff>183931</xdr:rowOff>
    </xdr:to>
    <xdr:cxnSp macro="">
      <xdr:nvCxnSpPr>
        <xdr:cNvPr id="49" name="Conector recto de flecha 3">
          <a:extLst>
            <a:ext uri="{FF2B5EF4-FFF2-40B4-BE49-F238E27FC236}">
              <a16:creationId xmlns:a16="http://schemas.microsoft.com/office/drawing/2014/main" id="{5AB9F734-DF46-4AB2-B765-8F4CCDE84E13}"/>
            </a:ext>
          </a:extLst>
        </xdr:cNvPr>
        <xdr:cNvCxnSpPr/>
      </xdr:nvCxnSpPr>
      <xdr:spPr>
        <a:xfrm flipV="1">
          <a:off x="9444789" y="4030579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183931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E755F9F1-6D9B-4C61-A254-BB3A0C5DF251}"/>
            </a:ext>
          </a:extLst>
        </xdr:cNvPr>
        <xdr:cNvCxnSpPr/>
      </xdr:nvCxnSpPr>
      <xdr:spPr>
        <a:xfrm flipV="1">
          <a:off x="4812632" y="596565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0</xdr:colOff>
      <xdr:row>31</xdr:row>
      <xdr:rowOff>183931</xdr:rowOff>
    </xdr:to>
    <xdr:cxnSp macro="">
      <xdr:nvCxnSpPr>
        <xdr:cNvPr id="51" name="Conector recto de flecha 50">
          <a:extLst>
            <a:ext uri="{FF2B5EF4-FFF2-40B4-BE49-F238E27FC236}">
              <a16:creationId xmlns:a16="http://schemas.microsoft.com/office/drawing/2014/main" id="{68756453-8210-46EC-80BB-2241B748A8CB}"/>
            </a:ext>
          </a:extLst>
        </xdr:cNvPr>
        <xdr:cNvCxnSpPr/>
      </xdr:nvCxnSpPr>
      <xdr:spPr>
        <a:xfrm flipV="1">
          <a:off x="6136105" y="596565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31</xdr:row>
      <xdr:rowOff>0</xdr:rowOff>
    </xdr:from>
    <xdr:to>
      <xdr:col>23</xdr:col>
      <xdr:colOff>0</xdr:colOff>
      <xdr:row>31</xdr:row>
      <xdr:rowOff>183931</xdr:rowOff>
    </xdr:to>
    <xdr:cxnSp macro="">
      <xdr:nvCxnSpPr>
        <xdr:cNvPr id="52" name="Conector recto de flecha 51">
          <a:extLst>
            <a:ext uri="{FF2B5EF4-FFF2-40B4-BE49-F238E27FC236}">
              <a16:creationId xmlns:a16="http://schemas.microsoft.com/office/drawing/2014/main" id="{EDE8161C-B2AC-4A6B-ABFB-4E02572F91B7}"/>
            </a:ext>
          </a:extLst>
        </xdr:cNvPr>
        <xdr:cNvCxnSpPr/>
      </xdr:nvCxnSpPr>
      <xdr:spPr>
        <a:xfrm flipV="1">
          <a:off x="7018421" y="596565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0</xdr:colOff>
      <xdr:row>31</xdr:row>
      <xdr:rowOff>183931</xdr:rowOff>
    </xdr:to>
    <xdr:cxnSp macro="">
      <xdr:nvCxnSpPr>
        <xdr:cNvPr id="53" name="Conector recto de flecha 52">
          <a:extLst>
            <a:ext uri="{FF2B5EF4-FFF2-40B4-BE49-F238E27FC236}">
              <a16:creationId xmlns:a16="http://schemas.microsoft.com/office/drawing/2014/main" id="{4925430D-AB01-4D59-81CC-C52F42A0E422}"/>
            </a:ext>
          </a:extLst>
        </xdr:cNvPr>
        <xdr:cNvCxnSpPr/>
      </xdr:nvCxnSpPr>
      <xdr:spPr>
        <a:xfrm flipV="1">
          <a:off x="8121316" y="596565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220579</xdr:colOff>
      <xdr:row>31</xdr:row>
      <xdr:rowOff>0</xdr:rowOff>
    </xdr:from>
    <xdr:to>
      <xdr:col>35</xdr:col>
      <xdr:colOff>220579</xdr:colOff>
      <xdr:row>31</xdr:row>
      <xdr:rowOff>183931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CB206166-54C0-4140-9F4D-DCB65F06DB5C}"/>
            </a:ext>
          </a:extLst>
        </xdr:cNvPr>
        <xdr:cNvCxnSpPr/>
      </xdr:nvCxnSpPr>
      <xdr:spPr>
        <a:xfrm flipV="1">
          <a:off x="9885947" y="596565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40</xdr:row>
      <xdr:rowOff>0</xdr:rowOff>
    </xdr:from>
    <xdr:to>
      <xdr:col>13</xdr:col>
      <xdr:colOff>0</xdr:colOff>
      <xdr:row>40</xdr:row>
      <xdr:rowOff>183931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DCED9167-C678-4019-B284-89ECF26634DE}"/>
            </a:ext>
          </a:extLst>
        </xdr:cNvPr>
        <xdr:cNvCxnSpPr/>
      </xdr:nvCxnSpPr>
      <xdr:spPr>
        <a:xfrm flipV="1">
          <a:off x="4812632" y="768015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40</xdr:row>
      <xdr:rowOff>0</xdr:rowOff>
    </xdr:from>
    <xdr:to>
      <xdr:col>20</xdr:col>
      <xdr:colOff>0</xdr:colOff>
      <xdr:row>40</xdr:row>
      <xdr:rowOff>183931</xdr:rowOff>
    </xdr:to>
    <xdr:cxnSp macro="">
      <xdr:nvCxnSpPr>
        <xdr:cNvPr id="56" name="Conector recto de flecha 55">
          <a:extLst>
            <a:ext uri="{FF2B5EF4-FFF2-40B4-BE49-F238E27FC236}">
              <a16:creationId xmlns:a16="http://schemas.microsoft.com/office/drawing/2014/main" id="{270F8A4B-D733-4214-9CF4-24B49E9E71B3}"/>
            </a:ext>
          </a:extLst>
        </xdr:cNvPr>
        <xdr:cNvCxnSpPr/>
      </xdr:nvCxnSpPr>
      <xdr:spPr>
        <a:xfrm flipV="1">
          <a:off x="6356684" y="768015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220579</xdr:colOff>
      <xdr:row>40</xdr:row>
      <xdr:rowOff>0</xdr:rowOff>
    </xdr:from>
    <xdr:to>
      <xdr:col>15</xdr:col>
      <xdr:colOff>220579</xdr:colOff>
      <xdr:row>40</xdr:row>
      <xdr:rowOff>183931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9ED4701A-B2A1-4764-9F28-16D76702D877}"/>
            </a:ext>
          </a:extLst>
        </xdr:cNvPr>
        <xdr:cNvCxnSpPr/>
      </xdr:nvCxnSpPr>
      <xdr:spPr>
        <a:xfrm flipV="1">
          <a:off x="5474368" y="768015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40</xdr:row>
      <xdr:rowOff>0</xdr:rowOff>
    </xdr:from>
    <xdr:to>
      <xdr:col>24</xdr:col>
      <xdr:colOff>0</xdr:colOff>
      <xdr:row>40</xdr:row>
      <xdr:rowOff>183931</xdr:rowOff>
    </xdr:to>
    <xdr:cxnSp macro="">
      <xdr:nvCxnSpPr>
        <xdr:cNvPr id="58" name="Conector recto de flecha 57">
          <a:extLst>
            <a:ext uri="{FF2B5EF4-FFF2-40B4-BE49-F238E27FC236}">
              <a16:creationId xmlns:a16="http://schemas.microsoft.com/office/drawing/2014/main" id="{CEBE0D19-A9FD-4958-9516-6CD739B45F78}"/>
            </a:ext>
          </a:extLst>
        </xdr:cNvPr>
        <xdr:cNvCxnSpPr/>
      </xdr:nvCxnSpPr>
      <xdr:spPr>
        <a:xfrm flipV="1">
          <a:off x="7239000" y="768015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40</xdr:row>
      <xdr:rowOff>0</xdr:rowOff>
    </xdr:from>
    <xdr:to>
      <xdr:col>29</xdr:col>
      <xdr:colOff>0</xdr:colOff>
      <xdr:row>40</xdr:row>
      <xdr:rowOff>183931</xdr:rowOff>
    </xdr:to>
    <xdr:cxnSp macro="">
      <xdr:nvCxnSpPr>
        <xdr:cNvPr id="59" name="Conector recto de flecha 58">
          <a:extLst>
            <a:ext uri="{FF2B5EF4-FFF2-40B4-BE49-F238E27FC236}">
              <a16:creationId xmlns:a16="http://schemas.microsoft.com/office/drawing/2014/main" id="{896532AE-75C0-4014-A17B-C47EC10E3B5C}"/>
            </a:ext>
          </a:extLst>
        </xdr:cNvPr>
        <xdr:cNvCxnSpPr/>
      </xdr:nvCxnSpPr>
      <xdr:spPr>
        <a:xfrm flipV="1">
          <a:off x="8341895" y="768015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220579</xdr:colOff>
      <xdr:row>40</xdr:row>
      <xdr:rowOff>0</xdr:rowOff>
    </xdr:from>
    <xdr:to>
      <xdr:col>36</xdr:col>
      <xdr:colOff>220579</xdr:colOff>
      <xdr:row>40</xdr:row>
      <xdr:rowOff>183931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B3397E6B-D441-45D9-92AB-0CCEB09536A9}"/>
            </a:ext>
          </a:extLst>
        </xdr:cNvPr>
        <xdr:cNvCxnSpPr/>
      </xdr:nvCxnSpPr>
      <xdr:spPr>
        <a:xfrm flipV="1">
          <a:off x="10106526" y="768015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50</xdr:row>
      <xdr:rowOff>0</xdr:rowOff>
    </xdr:from>
    <xdr:to>
      <xdr:col>13</xdr:col>
      <xdr:colOff>0</xdr:colOff>
      <xdr:row>50</xdr:row>
      <xdr:rowOff>183931</xdr:rowOff>
    </xdr:to>
    <xdr:cxnSp macro="">
      <xdr:nvCxnSpPr>
        <xdr:cNvPr id="61" name="Conector recto de flecha 60">
          <a:extLst>
            <a:ext uri="{FF2B5EF4-FFF2-40B4-BE49-F238E27FC236}">
              <a16:creationId xmlns:a16="http://schemas.microsoft.com/office/drawing/2014/main" id="{30D11A95-04C1-4629-9D95-8CEF4E182298}"/>
            </a:ext>
          </a:extLst>
        </xdr:cNvPr>
        <xdr:cNvCxnSpPr/>
      </xdr:nvCxnSpPr>
      <xdr:spPr>
        <a:xfrm flipV="1">
          <a:off x="4812632" y="958515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0</xdr:colOff>
      <xdr:row>50</xdr:row>
      <xdr:rowOff>183931</xdr:rowOff>
    </xdr:to>
    <xdr:cxnSp macro="">
      <xdr:nvCxnSpPr>
        <xdr:cNvPr id="62" name="Conector recto de flecha 61">
          <a:extLst>
            <a:ext uri="{FF2B5EF4-FFF2-40B4-BE49-F238E27FC236}">
              <a16:creationId xmlns:a16="http://schemas.microsoft.com/office/drawing/2014/main" id="{9AE709BB-1696-4CE3-B835-0AE256813ACB}"/>
            </a:ext>
          </a:extLst>
        </xdr:cNvPr>
        <xdr:cNvCxnSpPr/>
      </xdr:nvCxnSpPr>
      <xdr:spPr>
        <a:xfrm flipV="1">
          <a:off x="6136105" y="958515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50</xdr:row>
      <xdr:rowOff>183931</xdr:rowOff>
    </xdr:to>
    <xdr:cxnSp macro="">
      <xdr:nvCxnSpPr>
        <xdr:cNvPr id="63" name="Conector recto de flecha 62">
          <a:extLst>
            <a:ext uri="{FF2B5EF4-FFF2-40B4-BE49-F238E27FC236}">
              <a16:creationId xmlns:a16="http://schemas.microsoft.com/office/drawing/2014/main" id="{36B1BB59-8272-42CE-BED1-12FBE870754E}"/>
            </a:ext>
          </a:extLst>
        </xdr:cNvPr>
        <xdr:cNvCxnSpPr/>
      </xdr:nvCxnSpPr>
      <xdr:spPr>
        <a:xfrm flipV="1">
          <a:off x="7018421" y="958515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50</xdr:row>
      <xdr:rowOff>0</xdr:rowOff>
    </xdr:from>
    <xdr:to>
      <xdr:col>28</xdr:col>
      <xdr:colOff>0</xdr:colOff>
      <xdr:row>50</xdr:row>
      <xdr:rowOff>183931</xdr:rowOff>
    </xdr:to>
    <xdr:cxnSp macro="">
      <xdr:nvCxnSpPr>
        <xdr:cNvPr id="64" name="Conector recto de flecha 63">
          <a:extLst>
            <a:ext uri="{FF2B5EF4-FFF2-40B4-BE49-F238E27FC236}">
              <a16:creationId xmlns:a16="http://schemas.microsoft.com/office/drawing/2014/main" id="{A2C74A70-D989-44B7-BCD0-43D6D758AA19}"/>
            </a:ext>
          </a:extLst>
        </xdr:cNvPr>
        <xdr:cNvCxnSpPr/>
      </xdr:nvCxnSpPr>
      <xdr:spPr>
        <a:xfrm flipV="1">
          <a:off x="8121316" y="958515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220579</xdr:colOff>
      <xdr:row>50</xdr:row>
      <xdr:rowOff>0</xdr:rowOff>
    </xdr:from>
    <xdr:to>
      <xdr:col>35</xdr:col>
      <xdr:colOff>220579</xdr:colOff>
      <xdr:row>50</xdr:row>
      <xdr:rowOff>183931</xdr:rowOff>
    </xdr:to>
    <xdr:cxnSp macro="">
      <xdr:nvCxnSpPr>
        <xdr:cNvPr id="65" name="Conector recto de flecha 64">
          <a:extLst>
            <a:ext uri="{FF2B5EF4-FFF2-40B4-BE49-F238E27FC236}">
              <a16:creationId xmlns:a16="http://schemas.microsoft.com/office/drawing/2014/main" id="{E5BB7429-074B-4148-983C-FD50D0683367}"/>
            </a:ext>
          </a:extLst>
        </xdr:cNvPr>
        <xdr:cNvCxnSpPr/>
      </xdr:nvCxnSpPr>
      <xdr:spPr>
        <a:xfrm flipV="1">
          <a:off x="9885947" y="958515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4763</xdr:rowOff>
    </xdr:from>
    <xdr:to>
      <xdr:col>10</xdr:col>
      <xdr:colOff>0</xdr:colOff>
      <xdr:row>14</xdr:row>
      <xdr:rowOff>188694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4733925" y="2290763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4763</xdr:rowOff>
    </xdr:from>
    <xdr:to>
      <xdr:col>11</xdr:col>
      <xdr:colOff>0</xdr:colOff>
      <xdr:row>14</xdr:row>
      <xdr:rowOff>188694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4953000" y="2290763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214313</xdr:colOff>
      <xdr:row>14</xdr:row>
      <xdr:rowOff>4763</xdr:rowOff>
    </xdr:from>
    <xdr:to>
      <xdr:col>12</xdr:col>
      <xdr:colOff>214313</xdr:colOff>
      <xdr:row>14</xdr:row>
      <xdr:rowOff>188694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V="1">
          <a:off x="5386388" y="2290763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</xdr:colOff>
      <xdr:row>14</xdr:row>
      <xdr:rowOff>0</xdr:rowOff>
    </xdr:from>
    <xdr:to>
      <xdr:col>19</xdr:col>
      <xdr:colOff>1</xdr:colOff>
      <xdr:row>14</xdr:row>
      <xdr:rowOff>183931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V="1">
          <a:off x="6705601" y="2286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14</xdr:row>
      <xdr:rowOff>0</xdr:rowOff>
    </xdr:from>
    <xdr:to>
      <xdr:col>22</xdr:col>
      <xdr:colOff>0</xdr:colOff>
      <xdr:row>14</xdr:row>
      <xdr:rowOff>183931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V="1">
          <a:off x="7362825" y="2286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23</xdr:row>
      <xdr:rowOff>4763</xdr:rowOff>
    </xdr:from>
    <xdr:to>
      <xdr:col>10</xdr:col>
      <xdr:colOff>0</xdr:colOff>
      <xdr:row>23</xdr:row>
      <xdr:rowOff>188694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V="1">
          <a:off x="4733925" y="4005263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23</xdr:row>
      <xdr:rowOff>9526</xdr:rowOff>
    </xdr:from>
    <xdr:to>
      <xdr:col>11</xdr:col>
      <xdr:colOff>0</xdr:colOff>
      <xdr:row>24</xdr:row>
      <xdr:rowOff>2957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flipV="1">
          <a:off x="4953000" y="4010026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9526</xdr:rowOff>
    </xdr:from>
    <xdr:to>
      <xdr:col>13</xdr:col>
      <xdr:colOff>0</xdr:colOff>
      <xdr:row>24</xdr:row>
      <xdr:rowOff>2957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V="1">
          <a:off x="5391150" y="4010026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219074</xdr:colOff>
      <xdr:row>23</xdr:row>
      <xdr:rowOff>4764</xdr:rowOff>
    </xdr:from>
    <xdr:to>
      <xdr:col>18</xdr:col>
      <xdr:colOff>219074</xdr:colOff>
      <xdr:row>23</xdr:row>
      <xdr:rowOff>188695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V="1">
          <a:off x="6705599" y="4005264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23</xdr:row>
      <xdr:rowOff>4764</xdr:rowOff>
    </xdr:from>
    <xdr:to>
      <xdr:col>22</xdr:col>
      <xdr:colOff>0</xdr:colOff>
      <xdr:row>23</xdr:row>
      <xdr:rowOff>188695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7362825" y="4005264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338138</xdr:colOff>
      <xdr:row>34</xdr:row>
      <xdr:rowOff>4763</xdr:rowOff>
    </xdr:from>
    <xdr:to>
      <xdr:col>9</xdr:col>
      <xdr:colOff>338138</xdr:colOff>
      <xdr:row>34</xdr:row>
      <xdr:rowOff>188694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V="1">
          <a:off x="4729163" y="618648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34</xdr:row>
      <xdr:rowOff>4763</xdr:rowOff>
    </xdr:from>
    <xdr:to>
      <xdr:col>11</xdr:col>
      <xdr:colOff>1</xdr:colOff>
      <xdr:row>34</xdr:row>
      <xdr:rowOff>188694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V="1">
          <a:off x="4953001" y="618648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34</xdr:row>
      <xdr:rowOff>9525</xdr:rowOff>
    </xdr:from>
    <xdr:to>
      <xdr:col>13</xdr:col>
      <xdr:colOff>1</xdr:colOff>
      <xdr:row>35</xdr:row>
      <xdr:rowOff>2956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 flipV="1">
          <a:off x="5391151" y="619125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</xdr:colOff>
      <xdr:row>34</xdr:row>
      <xdr:rowOff>4763</xdr:rowOff>
    </xdr:from>
    <xdr:to>
      <xdr:col>19</xdr:col>
      <xdr:colOff>1</xdr:colOff>
      <xdr:row>34</xdr:row>
      <xdr:rowOff>188694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 flipV="1">
          <a:off x="6705601" y="618648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4763</xdr:colOff>
      <xdr:row>34</xdr:row>
      <xdr:rowOff>4763</xdr:rowOff>
    </xdr:from>
    <xdr:to>
      <xdr:col>22</xdr:col>
      <xdr:colOff>4763</xdr:colOff>
      <xdr:row>34</xdr:row>
      <xdr:rowOff>188694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 flipV="1">
          <a:off x="7367588" y="618648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0</xdr:colOff>
      <xdr:row>11</xdr:row>
      <xdr:rowOff>183931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27E0E6C7-C00B-463A-87AA-5E477FCD9D57}"/>
            </a:ext>
          </a:extLst>
        </xdr:cNvPr>
        <xdr:cNvCxnSpPr/>
      </xdr:nvCxnSpPr>
      <xdr:spPr>
        <a:xfrm flipV="1">
          <a:off x="5610225" y="2095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0</xdr:colOff>
      <xdr:row>11</xdr:row>
      <xdr:rowOff>183931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F2710E64-531E-4911-A711-290361D68B2F}"/>
            </a:ext>
          </a:extLst>
        </xdr:cNvPr>
        <xdr:cNvCxnSpPr/>
      </xdr:nvCxnSpPr>
      <xdr:spPr>
        <a:xfrm flipV="1">
          <a:off x="6924675" y="2095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11</xdr:row>
      <xdr:rowOff>0</xdr:rowOff>
    </xdr:from>
    <xdr:to>
      <xdr:col>19</xdr:col>
      <xdr:colOff>0</xdr:colOff>
      <xdr:row>11</xdr:row>
      <xdr:rowOff>183931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C243027C-AA17-44B4-A257-182916D73377}"/>
            </a:ext>
          </a:extLst>
        </xdr:cNvPr>
        <xdr:cNvCxnSpPr/>
      </xdr:nvCxnSpPr>
      <xdr:spPr>
        <a:xfrm flipV="1">
          <a:off x="6705600" y="2095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11</xdr:row>
      <xdr:rowOff>0</xdr:rowOff>
    </xdr:from>
    <xdr:to>
      <xdr:col>25</xdr:col>
      <xdr:colOff>0</xdr:colOff>
      <xdr:row>11</xdr:row>
      <xdr:rowOff>183931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135DF0C0-77B8-4B32-BE2D-90EC03BF8902}"/>
            </a:ext>
          </a:extLst>
        </xdr:cNvPr>
        <xdr:cNvCxnSpPr/>
      </xdr:nvCxnSpPr>
      <xdr:spPr>
        <a:xfrm flipV="1">
          <a:off x="8020050" y="2095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11</xdr:row>
      <xdr:rowOff>0</xdr:rowOff>
    </xdr:from>
    <xdr:to>
      <xdr:col>30</xdr:col>
      <xdr:colOff>0</xdr:colOff>
      <xdr:row>11</xdr:row>
      <xdr:rowOff>183931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B208DAE7-C34F-42B5-8ECC-E47359D2ADE7}"/>
            </a:ext>
          </a:extLst>
        </xdr:cNvPr>
        <xdr:cNvCxnSpPr/>
      </xdr:nvCxnSpPr>
      <xdr:spPr>
        <a:xfrm flipV="1">
          <a:off x="9115425" y="2095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</xdr:row>
      <xdr:rowOff>0</xdr:rowOff>
    </xdr:from>
    <xdr:to>
      <xdr:col>16</xdr:col>
      <xdr:colOff>0</xdr:colOff>
      <xdr:row>20</xdr:row>
      <xdr:rowOff>183931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A276D0DA-ABF0-49D8-8CCF-0DDCB178430A}"/>
            </a:ext>
          </a:extLst>
        </xdr:cNvPr>
        <xdr:cNvCxnSpPr/>
      </xdr:nvCxnSpPr>
      <xdr:spPr>
        <a:xfrm flipV="1">
          <a:off x="6048375" y="3810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20</xdr:row>
      <xdr:rowOff>0</xdr:rowOff>
    </xdr:from>
    <xdr:to>
      <xdr:col>21</xdr:col>
      <xdr:colOff>0</xdr:colOff>
      <xdr:row>20</xdr:row>
      <xdr:rowOff>183931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C9AA7EC6-DE1F-44FE-8121-34B09C6B0271}"/>
            </a:ext>
          </a:extLst>
        </xdr:cNvPr>
        <xdr:cNvCxnSpPr/>
      </xdr:nvCxnSpPr>
      <xdr:spPr>
        <a:xfrm flipV="1">
          <a:off x="7143750" y="3810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0</xdr:colOff>
      <xdr:row>20</xdr:row>
      <xdr:rowOff>183931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A54E9BA1-7CFB-4D7E-B75E-89ECD154498F}"/>
            </a:ext>
          </a:extLst>
        </xdr:cNvPr>
        <xdr:cNvCxnSpPr/>
      </xdr:nvCxnSpPr>
      <xdr:spPr>
        <a:xfrm flipV="1">
          <a:off x="6486525" y="3810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20</xdr:row>
      <xdr:rowOff>0</xdr:rowOff>
    </xdr:from>
    <xdr:to>
      <xdr:col>28</xdr:col>
      <xdr:colOff>0</xdr:colOff>
      <xdr:row>20</xdr:row>
      <xdr:rowOff>183931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F6C070BA-6766-49A9-AE7E-F3ED9BE2A51E}"/>
            </a:ext>
          </a:extLst>
        </xdr:cNvPr>
        <xdr:cNvCxnSpPr/>
      </xdr:nvCxnSpPr>
      <xdr:spPr>
        <a:xfrm flipV="1">
          <a:off x="8677275" y="3810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20</xdr:row>
      <xdr:rowOff>0</xdr:rowOff>
    </xdr:from>
    <xdr:to>
      <xdr:col>30</xdr:col>
      <xdr:colOff>0</xdr:colOff>
      <xdr:row>20</xdr:row>
      <xdr:rowOff>183931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6D32D292-C28A-4511-8C28-9349F20ACD15}"/>
            </a:ext>
          </a:extLst>
        </xdr:cNvPr>
        <xdr:cNvCxnSpPr/>
      </xdr:nvCxnSpPr>
      <xdr:spPr>
        <a:xfrm flipV="1">
          <a:off x="9115425" y="3810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183931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92D4001A-8181-424F-8728-81DCF88836EF}"/>
            </a:ext>
          </a:extLst>
        </xdr:cNvPr>
        <xdr:cNvCxnSpPr/>
      </xdr:nvCxnSpPr>
      <xdr:spPr>
        <a:xfrm flipV="1">
          <a:off x="5391150" y="596265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0</xdr:colOff>
      <xdr:row>31</xdr:row>
      <xdr:rowOff>183931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996980CB-BAB7-424B-913C-3D2E9C7675A7}"/>
            </a:ext>
          </a:extLst>
        </xdr:cNvPr>
        <xdr:cNvCxnSpPr/>
      </xdr:nvCxnSpPr>
      <xdr:spPr>
        <a:xfrm flipV="1">
          <a:off x="6924675" y="596265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31</xdr:row>
      <xdr:rowOff>0</xdr:rowOff>
    </xdr:from>
    <xdr:to>
      <xdr:col>18</xdr:col>
      <xdr:colOff>0</xdr:colOff>
      <xdr:row>31</xdr:row>
      <xdr:rowOff>183931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D9E082E6-707F-465A-AA3F-9D273DF20DAC}"/>
            </a:ext>
          </a:extLst>
        </xdr:cNvPr>
        <xdr:cNvCxnSpPr/>
      </xdr:nvCxnSpPr>
      <xdr:spPr>
        <a:xfrm flipV="1">
          <a:off x="6486525" y="596265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0</xdr:colOff>
      <xdr:row>31</xdr:row>
      <xdr:rowOff>183931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F83522FC-1F77-4CF7-A43A-4517F05FD06E}"/>
            </a:ext>
          </a:extLst>
        </xdr:cNvPr>
        <xdr:cNvCxnSpPr/>
      </xdr:nvCxnSpPr>
      <xdr:spPr>
        <a:xfrm flipV="1">
          <a:off x="8677275" y="596265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31</xdr:row>
      <xdr:rowOff>0</xdr:rowOff>
    </xdr:from>
    <xdr:to>
      <xdr:col>30</xdr:col>
      <xdr:colOff>0</xdr:colOff>
      <xdr:row>31</xdr:row>
      <xdr:rowOff>183931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C0285A6D-7DFA-44B9-991B-FDEB28B6AD23}"/>
            </a:ext>
          </a:extLst>
        </xdr:cNvPr>
        <xdr:cNvCxnSpPr/>
      </xdr:nvCxnSpPr>
      <xdr:spPr>
        <a:xfrm flipV="1">
          <a:off x="9115425" y="596265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214313</xdr:colOff>
      <xdr:row>4</xdr:row>
      <xdr:rowOff>9525</xdr:rowOff>
    </xdr:from>
    <xdr:to>
      <xdr:col>10</xdr:col>
      <xdr:colOff>214313</xdr:colOff>
      <xdr:row>5</xdr:row>
      <xdr:rowOff>2956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 flipV="1">
          <a:off x="5005388" y="771525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4</xdr:row>
      <xdr:rowOff>9525</xdr:rowOff>
    </xdr:from>
    <xdr:to>
      <xdr:col>13</xdr:col>
      <xdr:colOff>1</xdr:colOff>
      <xdr:row>5</xdr:row>
      <xdr:rowOff>2956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5448301" y="771525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</xdr:colOff>
      <xdr:row>4</xdr:row>
      <xdr:rowOff>4762</xdr:rowOff>
    </xdr:from>
    <xdr:to>
      <xdr:col>15</xdr:col>
      <xdr:colOff>1</xdr:colOff>
      <xdr:row>4</xdr:row>
      <xdr:rowOff>188693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V="1">
          <a:off x="5886451" y="766762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3</xdr:row>
      <xdr:rowOff>190499</xdr:rowOff>
    </xdr:from>
    <xdr:to>
      <xdr:col>17</xdr:col>
      <xdr:colOff>1</xdr:colOff>
      <xdr:row>4</xdr:row>
      <xdr:rowOff>183930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 flipV="1">
          <a:off x="6324601" y="761999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214313</xdr:colOff>
      <xdr:row>4</xdr:row>
      <xdr:rowOff>4761</xdr:rowOff>
    </xdr:from>
    <xdr:to>
      <xdr:col>17</xdr:col>
      <xdr:colOff>214313</xdr:colOff>
      <xdr:row>4</xdr:row>
      <xdr:rowOff>188692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 flipV="1">
          <a:off x="6538913" y="76676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214313</xdr:colOff>
      <xdr:row>16</xdr:row>
      <xdr:rowOff>0</xdr:rowOff>
    </xdr:from>
    <xdr:to>
      <xdr:col>10</xdr:col>
      <xdr:colOff>214313</xdr:colOff>
      <xdr:row>16</xdr:row>
      <xdr:rowOff>183931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flipV="1">
          <a:off x="5005388" y="3133725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16</xdr:row>
      <xdr:rowOff>0</xdr:rowOff>
    </xdr:from>
    <xdr:to>
      <xdr:col>13</xdr:col>
      <xdr:colOff>1</xdr:colOff>
      <xdr:row>16</xdr:row>
      <xdr:rowOff>183931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 flipV="1">
          <a:off x="5448301" y="3133725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214314</xdr:colOff>
      <xdr:row>16</xdr:row>
      <xdr:rowOff>0</xdr:rowOff>
    </xdr:from>
    <xdr:to>
      <xdr:col>14</xdr:col>
      <xdr:colOff>214314</xdr:colOff>
      <xdr:row>16</xdr:row>
      <xdr:rowOff>183931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 flipV="1">
          <a:off x="5881689" y="3133725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16</xdr:row>
      <xdr:rowOff>0</xdr:rowOff>
    </xdr:from>
    <xdr:to>
      <xdr:col>17</xdr:col>
      <xdr:colOff>1</xdr:colOff>
      <xdr:row>16</xdr:row>
      <xdr:rowOff>183931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 flipV="1">
          <a:off x="6324601" y="3133725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214313</xdr:colOff>
      <xdr:row>16</xdr:row>
      <xdr:rowOff>4763</xdr:rowOff>
    </xdr:from>
    <xdr:to>
      <xdr:col>17</xdr:col>
      <xdr:colOff>214313</xdr:colOff>
      <xdr:row>16</xdr:row>
      <xdr:rowOff>188694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 flipV="1">
          <a:off x="6538913" y="313848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0</xdr:colOff>
      <xdr:row>1</xdr:row>
      <xdr:rowOff>183931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B891D720-934E-4352-BC25-9DB184412EC4}"/>
            </a:ext>
          </a:extLst>
        </xdr:cNvPr>
        <xdr:cNvCxnSpPr/>
      </xdr:nvCxnSpPr>
      <xdr:spPr>
        <a:xfrm flipV="1">
          <a:off x="5667375" y="190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</xdr:row>
      <xdr:rowOff>0</xdr:rowOff>
    </xdr:from>
    <xdr:to>
      <xdr:col>20</xdr:col>
      <xdr:colOff>0</xdr:colOff>
      <xdr:row>1</xdr:row>
      <xdr:rowOff>183931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131AA353-AA44-4E3E-BD47-0A69FEC7A8F0}"/>
            </a:ext>
          </a:extLst>
        </xdr:cNvPr>
        <xdr:cNvCxnSpPr/>
      </xdr:nvCxnSpPr>
      <xdr:spPr>
        <a:xfrm flipV="1">
          <a:off x="6981825" y="190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</xdr:row>
      <xdr:rowOff>0</xdr:rowOff>
    </xdr:from>
    <xdr:to>
      <xdr:col>25</xdr:col>
      <xdr:colOff>0</xdr:colOff>
      <xdr:row>1</xdr:row>
      <xdr:rowOff>183931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CD025A19-0C68-43D7-A197-F3CCE9B1BFBB}"/>
            </a:ext>
          </a:extLst>
        </xdr:cNvPr>
        <xdr:cNvCxnSpPr/>
      </xdr:nvCxnSpPr>
      <xdr:spPr>
        <a:xfrm flipV="1">
          <a:off x="8077200" y="190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</xdr:row>
      <xdr:rowOff>0</xdr:rowOff>
    </xdr:from>
    <xdr:to>
      <xdr:col>33</xdr:col>
      <xdr:colOff>0</xdr:colOff>
      <xdr:row>1</xdr:row>
      <xdr:rowOff>183931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1FF757AD-C86D-4CD8-8AC1-20192A2BCAEC}"/>
            </a:ext>
          </a:extLst>
        </xdr:cNvPr>
        <xdr:cNvCxnSpPr/>
      </xdr:nvCxnSpPr>
      <xdr:spPr>
        <a:xfrm flipV="1">
          <a:off x="9829800" y="190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</xdr:row>
      <xdr:rowOff>0</xdr:rowOff>
    </xdr:from>
    <xdr:to>
      <xdr:col>37</xdr:col>
      <xdr:colOff>0</xdr:colOff>
      <xdr:row>1</xdr:row>
      <xdr:rowOff>183931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5CEF2CF0-0F62-49F9-98FB-481E1C7C1066}"/>
            </a:ext>
          </a:extLst>
        </xdr:cNvPr>
        <xdr:cNvCxnSpPr/>
      </xdr:nvCxnSpPr>
      <xdr:spPr>
        <a:xfrm flipV="1">
          <a:off x="10706100" y="190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</xdr:row>
      <xdr:rowOff>0</xdr:rowOff>
    </xdr:from>
    <xdr:to>
      <xdr:col>24</xdr:col>
      <xdr:colOff>0</xdr:colOff>
      <xdr:row>13</xdr:row>
      <xdr:rowOff>183931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7C56D645-94A1-4E7D-9873-AA2754EBEE62}"/>
            </a:ext>
          </a:extLst>
        </xdr:cNvPr>
        <xdr:cNvCxnSpPr/>
      </xdr:nvCxnSpPr>
      <xdr:spPr>
        <a:xfrm flipV="1">
          <a:off x="7858125" y="253365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13</xdr:row>
      <xdr:rowOff>0</xdr:rowOff>
    </xdr:from>
    <xdr:to>
      <xdr:col>23</xdr:col>
      <xdr:colOff>0</xdr:colOff>
      <xdr:row>13</xdr:row>
      <xdr:rowOff>183931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92E30F9A-4916-4D43-8B46-E0E493BD927B}"/>
            </a:ext>
          </a:extLst>
        </xdr:cNvPr>
        <xdr:cNvCxnSpPr/>
      </xdr:nvCxnSpPr>
      <xdr:spPr>
        <a:xfrm flipV="1">
          <a:off x="7639050" y="253365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13</xdr:row>
      <xdr:rowOff>0</xdr:rowOff>
    </xdr:from>
    <xdr:to>
      <xdr:col>32</xdr:col>
      <xdr:colOff>0</xdr:colOff>
      <xdr:row>13</xdr:row>
      <xdr:rowOff>183931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1A537F81-10BE-491B-8F1A-205B1241D053}"/>
            </a:ext>
          </a:extLst>
        </xdr:cNvPr>
        <xdr:cNvCxnSpPr/>
      </xdr:nvCxnSpPr>
      <xdr:spPr>
        <a:xfrm flipV="1">
          <a:off x="9610725" y="253365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13</xdr:row>
      <xdr:rowOff>0</xdr:rowOff>
    </xdr:from>
    <xdr:to>
      <xdr:col>36</xdr:col>
      <xdr:colOff>0</xdr:colOff>
      <xdr:row>13</xdr:row>
      <xdr:rowOff>183931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E9709455-BBE4-4BDC-83A2-3B3775FCB897}"/>
            </a:ext>
          </a:extLst>
        </xdr:cNvPr>
        <xdr:cNvCxnSpPr/>
      </xdr:nvCxnSpPr>
      <xdr:spPr>
        <a:xfrm flipV="1">
          <a:off x="10487025" y="253365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183931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F05F28DA-7026-474C-9724-44A328C4C52A}"/>
            </a:ext>
          </a:extLst>
        </xdr:cNvPr>
        <xdr:cNvCxnSpPr/>
      </xdr:nvCxnSpPr>
      <xdr:spPr>
        <a:xfrm flipV="1">
          <a:off x="10706100" y="253365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179916</xdr:colOff>
      <xdr:row>2</xdr:row>
      <xdr:rowOff>0</xdr:rowOff>
    </xdr:from>
    <xdr:to>
      <xdr:col>11</xdr:col>
      <xdr:colOff>179916</xdr:colOff>
      <xdr:row>2</xdr:row>
      <xdr:rowOff>183931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1C2126C4-63F6-47F8-92EA-AB2F991F5D08}"/>
            </a:ext>
          </a:extLst>
        </xdr:cNvPr>
        <xdr:cNvCxnSpPr/>
      </xdr:nvCxnSpPr>
      <xdr:spPr>
        <a:xfrm rot="10800000" flipV="1">
          <a:off x="4773083" y="190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0</xdr:rowOff>
    </xdr:from>
    <xdr:to>
      <xdr:col>14</xdr:col>
      <xdr:colOff>0</xdr:colOff>
      <xdr:row>2</xdr:row>
      <xdr:rowOff>183931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39E7DD02-9B35-4D72-9E86-8E44A33C00A4}"/>
            </a:ext>
          </a:extLst>
        </xdr:cNvPr>
        <xdr:cNvCxnSpPr/>
      </xdr:nvCxnSpPr>
      <xdr:spPr>
        <a:xfrm rot="10800000" flipV="1">
          <a:off x="5132917" y="190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</xdr:row>
      <xdr:rowOff>0</xdr:rowOff>
    </xdr:from>
    <xdr:to>
      <xdr:col>20</xdr:col>
      <xdr:colOff>0</xdr:colOff>
      <xdr:row>2</xdr:row>
      <xdr:rowOff>183931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90B71167-4D04-452A-817E-5D0EF7D83679}"/>
            </a:ext>
          </a:extLst>
        </xdr:cNvPr>
        <xdr:cNvCxnSpPr/>
      </xdr:nvCxnSpPr>
      <xdr:spPr>
        <a:xfrm rot="10800000" flipV="1">
          <a:off x="6212417" y="190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</xdr:row>
      <xdr:rowOff>0</xdr:rowOff>
    </xdr:from>
    <xdr:to>
      <xdr:col>23</xdr:col>
      <xdr:colOff>0</xdr:colOff>
      <xdr:row>2</xdr:row>
      <xdr:rowOff>183931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64AB4BD3-24B3-4A34-BA74-CD1F4E162EA3}"/>
            </a:ext>
          </a:extLst>
        </xdr:cNvPr>
        <xdr:cNvCxnSpPr/>
      </xdr:nvCxnSpPr>
      <xdr:spPr>
        <a:xfrm rot="10800000" flipV="1">
          <a:off x="6752167" y="190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179916</xdr:colOff>
      <xdr:row>2</xdr:row>
      <xdr:rowOff>0</xdr:rowOff>
    </xdr:from>
    <xdr:to>
      <xdr:col>10</xdr:col>
      <xdr:colOff>179916</xdr:colOff>
      <xdr:row>2</xdr:row>
      <xdr:rowOff>183931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3B95A447-F5FC-4A8C-AB11-810FE3BCEE93}"/>
            </a:ext>
          </a:extLst>
        </xdr:cNvPr>
        <xdr:cNvCxnSpPr/>
      </xdr:nvCxnSpPr>
      <xdr:spPr>
        <a:xfrm rot="10800000" flipV="1">
          <a:off x="5185833" y="381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</xdr:row>
      <xdr:rowOff>0</xdr:rowOff>
    </xdr:from>
    <xdr:to>
      <xdr:col>12</xdr:col>
      <xdr:colOff>0</xdr:colOff>
      <xdr:row>18</xdr:row>
      <xdr:rowOff>183931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F098F002-581D-47EA-B90F-2485CF3D2A6E}"/>
            </a:ext>
          </a:extLst>
        </xdr:cNvPr>
        <xdr:cNvCxnSpPr/>
      </xdr:nvCxnSpPr>
      <xdr:spPr>
        <a:xfrm rot="10800000" flipV="1">
          <a:off x="5365750" y="3429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179916</xdr:colOff>
      <xdr:row>18</xdr:row>
      <xdr:rowOff>0</xdr:rowOff>
    </xdr:from>
    <xdr:to>
      <xdr:col>13</xdr:col>
      <xdr:colOff>179916</xdr:colOff>
      <xdr:row>18</xdr:row>
      <xdr:rowOff>183931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8C85BF30-AE0A-4BB2-83D5-A1BB31D529F9}"/>
            </a:ext>
          </a:extLst>
        </xdr:cNvPr>
        <xdr:cNvCxnSpPr/>
      </xdr:nvCxnSpPr>
      <xdr:spPr>
        <a:xfrm rot="10800000" flipV="1">
          <a:off x="5725583" y="3429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</xdr:row>
      <xdr:rowOff>0</xdr:rowOff>
    </xdr:from>
    <xdr:to>
      <xdr:col>16</xdr:col>
      <xdr:colOff>0</xdr:colOff>
      <xdr:row>18</xdr:row>
      <xdr:rowOff>183931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329A2312-801C-41A2-A11F-29C753931CA2}"/>
            </a:ext>
          </a:extLst>
        </xdr:cNvPr>
        <xdr:cNvCxnSpPr/>
      </xdr:nvCxnSpPr>
      <xdr:spPr>
        <a:xfrm rot="10800000" flipV="1">
          <a:off x="6085417" y="3429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</xdr:row>
      <xdr:rowOff>0</xdr:rowOff>
    </xdr:from>
    <xdr:to>
      <xdr:col>18</xdr:col>
      <xdr:colOff>0</xdr:colOff>
      <xdr:row>18</xdr:row>
      <xdr:rowOff>183931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id="{52BD9B01-B64C-46D8-AEF5-E80EF4337467}"/>
            </a:ext>
          </a:extLst>
        </xdr:cNvPr>
        <xdr:cNvCxnSpPr/>
      </xdr:nvCxnSpPr>
      <xdr:spPr>
        <a:xfrm rot="10800000" flipV="1">
          <a:off x="6445250" y="3429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18</xdr:row>
      <xdr:rowOff>0</xdr:rowOff>
    </xdr:from>
    <xdr:to>
      <xdr:col>19</xdr:col>
      <xdr:colOff>0</xdr:colOff>
      <xdr:row>18</xdr:row>
      <xdr:rowOff>183931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EF140EEB-789A-446C-BE83-E0D7E23ABCC3}"/>
            </a:ext>
          </a:extLst>
        </xdr:cNvPr>
        <xdr:cNvCxnSpPr/>
      </xdr:nvCxnSpPr>
      <xdr:spPr>
        <a:xfrm rot="10800000" flipV="1">
          <a:off x="6625167" y="3429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26</xdr:row>
      <xdr:rowOff>0</xdr:rowOff>
    </xdr:from>
    <xdr:to>
      <xdr:col>16</xdr:col>
      <xdr:colOff>0</xdr:colOff>
      <xdr:row>26</xdr:row>
      <xdr:rowOff>183931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3823F21A-B223-45C1-BAAA-AA4932856BB2}"/>
            </a:ext>
          </a:extLst>
        </xdr:cNvPr>
        <xdr:cNvCxnSpPr/>
      </xdr:nvCxnSpPr>
      <xdr:spPr>
        <a:xfrm rot="10800000" flipV="1">
          <a:off x="6118412" y="4953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179916</xdr:colOff>
      <xdr:row>26</xdr:row>
      <xdr:rowOff>0</xdr:rowOff>
    </xdr:from>
    <xdr:to>
      <xdr:col>34</xdr:col>
      <xdr:colOff>179916</xdr:colOff>
      <xdr:row>26</xdr:row>
      <xdr:rowOff>183931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2DA8F5B3-195E-4366-9015-00A8E134D21D}"/>
            </a:ext>
          </a:extLst>
        </xdr:cNvPr>
        <xdr:cNvCxnSpPr/>
      </xdr:nvCxnSpPr>
      <xdr:spPr>
        <a:xfrm rot="10800000" flipV="1">
          <a:off x="9503833" y="5143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26</xdr:row>
      <xdr:rowOff>0</xdr:rowOff>
    </xdr:from>
    <xdr:to>
      <xdr:col>36</xdr:col>
      <xdr:colOff>0</xdr:colOff>
      <xdr:row>26</xdr:row>
      <xdr:rowOff>183931</xdr:rowOff>
    </xdr:to>
    <xdr:cxnSp macro="">
      <xdr:nvCxnSpPr>
        <xdr:cNvPr id="49" name="Conector recto de flecha 48">
          <a:extLst>
            <a:ext uri="{FF2B5EF4-FFF2-40B4-BE49-F238E27FC236}">
              <a16:creationId xmlns:a16="http://schemas.microsoft.com/office/drawing/2014/main" id="{A3327142-4735-4A99-AD4B-C2FB4604AB52}"/>
            </a:ext>
          </a:extLst>
        </xdr:cNvPr>
        <xdr:cNvCxnSpPr/>
      </xdr:nvCxnSpPr>
      <xdr:spPr>
        <a:xfrm rot="10800000" flipV="1">
          <a:off x="9683750" y="5143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179916</xdr:colOff>
      <xdr:row>26</xdr:row>
      <xdr:rowOff>0</xdr:rowOff>
    </xdr:from>
    <xdr:to>
      <xdr:col>37</xdr:col>
      <xdr:colOff>179916</xdr:colOff>
      <xdr:row>26</xdr:row>
      <xdr:rowOff>183931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4CE81453-EF1A-4834-9209-CBB3142530A7}"/>
            </a:ext>
          </a:extLst>
        </xdr:cNvPr>
        <xdr:cNvCxnSpPr/>
      </xdr:nvCxnSpPr>
      <xdr:spPr>
        <a:xfrm rot="10800000" flipV="1">
          <a:off x="10043583" y="5143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26</xdr:row>
      <xdr:rowOff>0</xdr:rowOff>
    </xdr:from>
    <xdr:to>
      <xdr:col>30</xdr:col>
      <xdr:colOff>0</xdr:colOff>
      <xdr:row>26</xdr:row>
      <xdr:rowOff>183931</xdr:rowOff>
    </xdr:to>
    <xdr:cxnSp macro="">
      <xdr:nvCxnSpPr>
        <xdr:cNvPr id="51" name="Conector recto de flecha 50">
          <a:extLst>
            <a:ext uri="{FF2B5EF4-FFF2-40B4-BE49-F238E27FC236}">
              <a16:creationId xmlns:a16="http://schemas.microsoft.com/office/drawing/2014/main" id="{CA462E3C-9AC3-4AFB-BD82-512A3B75B323}"/>
            </a:ext>
          </a:extLst>
        </xdr:cNvPr>
        <xdr:cNvCxnSpPr/>
      </xdr:nvCxnSpPr>
      <xdr:spPr>
        <a:xfrm rot="10800000" flipV="1">
          <a:off x="8604250" y="5143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10</xdr:row>
      <xdr:rowOff>0</xdr:rowOff>
    </xdr:from>
    <xdr:to>
      <xdr:col>31</xdr:col>
      <xdr:colOff>0</xdr:colOff>
      <xdr:row>10</xdr:row>
      <xdr:rowOff>183931</xdr:rowOff>
    </xdr:to>
    <xdr:cxnSp macro="">
      <xdr:nvCxnSpPr>
        <xdr:cNvPr id="52" name="Conector recto de flecha 51">
          <a:extLst>
            <a:ext uri="{FF2B5EF4-FFF2-40B4-BE49-F238E27FC236}">
              <a16:creationId xmlns:a16="http://schemas.microsoft.com/office/drawing/2014/main" id="{1466465B-41A3-47D4-BD91-30BF3A05A7EE}"/>
            </a:ext>
          </a:extLst>
        </xdr:cNvPr>
        <xdr:cNvCxnSpPr/>
      </xdr:nvCxnSpPr>
      <xdr:spPr>
        <a:xfrm rot="10800000" flipV="1">
          <a:off x="8807824" y="2286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10</xdr:row>
      <xdr:rowOff>0</xdr:rowOff>
    </xdr:from>
    <xdr:to>
      <xdr:col>27</xdr:col>
      <xdr:colOff>0</xdr:colOff>
      <xdr:row>10</xdr:row>
      <xdr:rowOff>183931</xdr:rowOff>
    </xdr:to>
    <xdr:cxnSp macro="">
      <xdr:nvCxnSpPr>
        <xdr:cNvPr id="53" name="Conector recto de flecha 52">
          <a:extLst>
            <a:ext uri="{FF2B5EF4-FFF2-40B4-BE49-F238E27FC236}">
              <a16:creationId xmlns:a16="http://schemas.microsoft.com/office/drawing/2014/main" id="{40126DAA-695E-4789-992C-118DF1EB3E8C}"/>
            </a:ext>
          </a:extLst>
        </xdr:cNvPr>
        <xdr:cNvCxnSpPr/>
      </xdr:nvCxnSpPr>
      <xdr:spPr>
        <a:xfrm rot="10800000" flipV="1">
          <a:off x="8090647" y="2286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18</xdr:col>
      <xdr:colOff>0</xdr:colOff>
      <xdr:row>10</xdr:row>
      <xdr:rowOff>183931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EAF831D7-12DB-42A6-AB7C-0CAE2C1A71CA}"/>
            </a:ext>
          </a:extLst>
        </xdr:cNvPr>
        <xdr:cNvCxnSpPr/>
      </xdr:nvCxnSpPr>
      <xdr:spPr>
        <a:xfrm rot="10800000" flipV="1">
          <a:off x="6477000" y="2286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19</xdr:col>
      <xdr:colOff>0</xdr:colOff>
      <xdr:row>10</xdr:row>
      <xdr:rowOff>183931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23F2710A-32FA-44A3-AB2C-D86C619F9079}"/>
            </a:ext>
          </a:extLst>
        </xdr:cNvPr>
        <xdr:cNvCxnSpPr/>
      </xdr:nvCxnSpPr>
      <xdr:spPr>
        <a:xfrm rot="10800000" flipV="1">
          <a:off x="6656294" y="2286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179916</xdr:colOff>
      <xdr:row>10</xdr:row>
      <xdr:rowOff>0</xdr:rowOff>
    </xdr:from>
    <xdr:to>
      <xdr:col>28</xdr:col>
      <xdr:colOff>179916</xdr:colOff>
      <xdr:row>10</xdr:row>
      <xdr:rowOff>183931</xdr:rowOff>
    </xdr:to>
    <xdr:cxnSp macro="">
      <xdr:nvCxnSpPr>
        <xdr:cNvPr id="56" name="Conector recto de flecha 55">
          <a:extLst>
            <a:ext uri="{FF2B5EF4-FFF2-40B4-BE49-F238E27FC236}">
              <a16:creationId xmlns:a16="http://schemas.microsoft.com/office/drawing/2014/main" id="{36C383FB-ABC4-4F24-8353-DA73B000F5A7}"/>
            </a:ext>
          </a:extLst>
        </xdr:cNvPr>
        <xdr:cNvCxnSpPr/>
      </xdr:nvCxnSpPr>
      <xdr:spPr>
        <a:xfrm rot="10800000" flipV="1">
          <a:off x="8449857" y="2286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12</xdr:rowOff>
    </xdr:from>
    <xdr:to>
      <xdr:col>10</xdr:col>
      <xdr:colOff>0</xdr:colOff>
      <xdr:row>8</xdr:row>
      <xdr:rowOff>183943</xdr:rowOff>
    </xdr:to>
    <xdr:cxnSp macro="">
      <xdr:nvCxnSpPr>
        <xdr:cNvPr id="2" name="Conector recto de flecha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V="1">
          <a:off x="5334000" y="1660083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</xdr:row>
      <xdr:rowOff>190500</xdr:rowOff>
    </xdr:from>
    <xdr:to>
      <xdr:col>12</xdr:col>
      <xdr:colOff>0</xdr:colOff>
      <xdr:row>8</xdr:row>
      <xdr:rowOff>183931</xdr:rowOff>
    </xdr:to>
    <xdr:cxnSp macro="">
      <xdr:nvCxnSpPr>
        <xdr:cNvPr id="3" name="Conector recto de flecha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5823857" y="14695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244928</xdr:colOff>
      <xdr:row>7</xdr:row>
      <xdr:rowOff>190500</xdr:rowOff>
    </xdr:from>
    <xdr:to>
      <xdr:col>15</xdr:col>
      <xdr:colOff>244928</xdr:colOff>
      <xdr:row>8</xdr:row>
      <xdr:rowOff>183931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 flipV="1">
          <a:off x="6803571" y="14695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244928</xdr:colOff>
      <xdr:row>7</xdr:row>
      <xdr:rowOff>190500</xdr:rowOff>
    </xdr:from>
    <xdr:to>
      <xdr:col>29</xdr:col>
      <xdr:colOff>244928</xdr:colOff>
      <xdr:row>8</xdr:row>
      <xdr:rowOff>183931</xdr:rowOff>
    </xdr:to>
    <xdr:cxnSp macro="">
      <xdr:nvCxnSpPr>
        <xdr:cNvPr id="5" name="Conector recto de flecha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 flipV="1">
          <a:off x="10232571" y="14695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190500</xdr:rowOff>
    </xdr:from>
    <xdr:to>
      <xdr:col>12</xdr:col>
      <xdr:colOff>0</xdr:colOff>
      <xdr:row>17</xdr:row>
      <xdr:rowOff>183931</xdr:rowOff>
    </xdr:to>
    <xdr:cxnSp macro="">
      <xdr:nvCxnSpPr>
        <xdr:cNvPr id="6" name="Conector recto de flecha 3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 flipV="1">
          <a:off x="5823857" y="16600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244928</xdr:colOff>
      <xdr:row>16</xdr:row>
      <xdr:rowOff>190500</xdr:rowOff>
    </xdr:from>
    <xdr:to>
      <xdr:col>15</xdr:col>
      <xdr:colOff>244928</xdr:colOff>
      <xdr:row>17</xdr:row>
      <xdr:rowOff>183931</xdr:rowOff>
    </xdr:to>
    <xdr:cxnSp macro="">
      <xdr:nvCxnSpPr>
        <xdr:cNvPr id="7" name="Conector recto de flecha 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 flipV="1">
          <a:off x="6803571" y="16600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244928</xdr:colOff>
      <xdr:row>16</xdr:row>
      <xdr:rowOff>190500</xdr:rowOff>
    </xdr:from>
    <xdr:to>
      <xdr:col>29</xdr:col>
      <xdr:colOff>244928</xdr:colOff>
      <xdr:row>17</xdr:row>
      <xdr:rowOff>183931</xdr:rowOff>
    </xdr:to>
    <xdr:cxnSp macro="">
      <xdr:nvCxnSpPr>
        <xdr:cNvPr id="8" name="Conector recto de flecha 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 flipV="1">
          <a:off x="10232571" y="16600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16</xdr:row>
      <xdr:rowOff>190500</xdr:rowOff>
    </xdr:from>
    <xdr:to>
      <xdr:col>10</xdr:col>
      <xdr:colOff>0</xdr:colOff>
      <xdr:row>17</xdr:row>
      <xdr:rowOff>183931</xdr:rowOff>
    </xdr:to>
    <xdr:cxnSp macro="">
      <xdr:nvCxnSpPr>
        <xdr:cNvPr id="9" name="Conector recto de flecha 3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 flipV="1">
          <a:off x="5334000" y="31840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25</xdr:row>
      <xdr:rowOff>190500</xdr:rowOff>
    </xdr:from>
    <xdr:to>
      <xdr:col>12</xdr:col>
      <xdr:colOff>0</xdr:colOff>
      <xdr:row>26</xdr:row>
      <xdr:rowOff>183931</xdr:rowOff>
    </xdr:to>
    <xdr:cxnSp macro="">
      <xdr:nvCxnSpPr>
        <xdr:cNvPr id="10" name="Conector recto de flecha 3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/>
      </xdr:nvCxnSpPr>
      <xdr:spPr>
        <a:xfrm flipV="1">
          <a:off x="5823857" y="31840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244928</xdr:colOff>
      <xdr:row>25</xdr:row>
      <xdr:rowOff>190500</xdr:rowOff>
    </xdr:from>
    <xdr:to>
      <xdr:col>15</xdr:col>
      <xdr:colOff>244928</xdr:colOff>
      <xdr:row>26</xdr:row>
      <xdr:rowOff>183931</xdr:rowOff>
    </xdr:to>
    <xdr:cxnSp macro="">
      <xdr:nvCxnSpPr>
        <xdr:cNvPr id="11" name="Conector recto de flecha 3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 flipV="1">
          <a:off x="6803571" y="31840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244928</xdr:colOff>
      <xdr:row>25</xdr:row>
      <xdr:rowOff>190500</xdr:rowOff>
    </xdr:from>
    <xdr:to>
      <xdr:col>29</xdr:col>
      <xdr:colOff>244928</xdr:colOff>
      <xdr:row>26</xdr:row>
      <xdr:rowOff>183931</xdr:rowOff>
    </xdr:to>
    <xdr:cxnSp macro="">
      <xdr:nvCxnSpPr>
        <xdr:cNvPr id="12" name="Conector recto de flecha 3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/>
      </xdr:nvCxnSpPr>
      <xdr:spPr>
        <a:xfrm flipV="1">
          <a:off x="10232571" y="31840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25</xdr:row>
      <xdr:rowOff>190500</xdr:rowOff>
    </xdr:from>
    <xdr:to>
      <xdr:col>10</xdr:col>
      <xdr:colOff>0</xdr:colOff>
      <xdr:row>26</xdr:row>
      <xdr:rowOff>183931</xdr:rowOff>
    </xdr:to>
    <xdr:cxnSp macro="">
      <xdr:nvCxnSpPr>
        <xdr:cNvPr id="13" name="Conector recto de flecha 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 flipV="1">
          <a:off x="5334000" y="47080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244928</xdr:colOff>
      <xdr:row>5</xdr:row>
      <xdr:rowOff>0</xdr:rowOff>
    </xdr:from>
    <xdr:to>
      <xdr:col>22</xdr:col>
      <xdr:colOff>244928</xdr:colOff>
      <xdr:row>5</xdr:row>
      <xdr:rowOff>183931</xdr:rowOff>
    </xdr:to>
    <xdr:cxnSp macro="">
      <xdr:nvCxnSpPr>
        <xdr:cNvPr id="14" name="Conector recto de flecha 3">
          <a:extLst>
            <a:ext uri="{FF2B5EF4-FFF2-40B4-BE49-F238E27FC236}">
              <a16:creationId xmlns:a16="http://schemas.microsoft.com/office/drawing/2014/main" id="{96E289C3-13A9-4A94-8162-400D50809892}"/>
            </a:ext>
          </a:extLst>
        </xdr:cNvPr>
        <xdr:cNvCxnSpPr/>
      </xdr:nvCxnSpPr>
      <xdr:spPr>
        <a:xfrm flipV="1">
          <a:off x="8518071" y="108176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5</xdr:row>
      <xdr:rowOff>0</xdr:rowOff>
    </xdr:from>
    <xdr:to>
      <xdr:col>17</xdr:col>
      <xdr:colOff>0</xdr:colOff>
      <xdr:row>5</xdr:row>
      <xdr:rowOff>183931</xdr:rowOff>
    </xdr:to>
    <xdr:cxnSp macro="">
      <xdr:nvCxnSpPr>
        <xdr:cNvPr id="15" name="Conector recto de flecha 3">
          <a:extLst>
            <a:ext uri="{FF2B5EF4-FFF2-40B4-BE49-F238E27FC236}">
              <a16:creationId xmlns:a16="http://schemas.microsoft.com/office/drawing/2014/main" id="{F3D08F86-2A6A-4944-9D64-958CF5A1BC70}"/>
            </a:ext>
          </a:extLst>
        </xdr:cNvPr>
        <xdr:cNvCxnSpPr/>
      </xdr:nvCxnSpPr>
      <xdr:spPr>
        <a:xfrm flipV="1">
          <a:off x="7048500" y="108176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5</xdr:row>
      <xdr:rowOff>0</xdr:rowOff>
    </xdr:from>
    <xdr:to>
      <xdr:col>34</xdr:col>
      <xdr:colOff>0</xdr:colOff>
      <xdr:row>5</xdr:row>
      <xdr:rowOff>183931</xdr:rowOff>
    </xdr:to>
    <xdr:cxnSp macro="">
      <xdr:nvCxnSpPr>
        <xdr:cNvPr id="16" name="Conector recto de flecha 3">
          <a:extLst>
            <a:ext uri="{FF2B5EF4-FFF2-40B4-BE49-F238E27FC236}">
              <a16:creationId xmlns:a16="http://schemas.microsoft.com/office/drawing/2014/main" id="{4A179BB4-6719-4853-83A4-C8D438AFA9B1}"/>
            </a:ext>
          </a:extLst>
        </xdr:cNvPr>
        <xdr:cNvCxnSpPr/>
      </xdr:nvCxnSpPr>
      <xdr:spPr>
        <a:xfrm flipV="1">
          <a:off x="11212286" y="108176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5</xdr:row>
      <xdr:rowOff>0</xdr:rowOff>
    </xdr:from>
    <xdr:to>
      <xdr:col>36</xdr:col>
      <xdr:colOff>0</xdr:colOff>
      <xdr:row>5</xdr:row>
      <xdr:rowOff>183931</xdr:rowOff>
    </xdr:to>
    <xdr:cxnSp macro="">
      <xdr:nvCxnSpPr>
        <xdr:cNvPr id="17" name="Conector recto de flecha 3">
          <a:extLst>
            <a:ext uri="{FF2B5EF4-FFF2-40B4-BE49-F238E27FC236}">
              <a16:creationId xmlns:a16="http://schemas.microsoft.com/office/drawing/2014/main" id="{4321414B-13B0-4A9A-B902-FBCEDCEC90C6}"/>
            </a:ext>
          </a:extLst>
        </xdr:cNvPr>
        <xdr:cNvCxnSpPr/>
      </xdr:nvCxnSpPr>
      <xdr:spPr>
        <a:xfrm flipV="1">
          <a:off x="11702143" y="1081768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</xdr:row>
      <xdr:rowOff>190500</xdr:rowOff>
    </xdr:from>
    <xdr:to>
      <xdr:col>24</xdr:col>
      <xdr:colOff>0</xdr:colOff>
      <xdr:row>14</xdr:row>
      <xdr:rowOff>183931</xdr:rowOff>
    </xdr:to>
    <xdr:cxnSp macro="">
      <xdr:nvCxnSpPr>
        <xdr:cNvPr id="18" name="Conector recto de flecha 3">
          <a:extLst>
            <a:ext uri="{FF2B5EF4-FFF2-40B4-BE49-F238E27FC236}">
              <a16:creationId xmlns:a16="http://schemas.microsoft.com/office/drawing/2014/main" id="{E09365BA-8874-4AEE-A466-7873E4E61EE9}"/>
            </a:ext>
          </a:extLst>
        </xdr:cNvPr>
        <xdr:cNvCxnSpPr/>
      </xdr:nvCxnSpPr>
      <xdr:spPr>
        <a:xfrm flipV="1">
          <a:off x="8763000" y="26125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</xdr:row>
      <xdr:rowOff>190500</xdr:rowOff>
    </xdr:from>
    <xdr:to>
      <xdr:col>17</xdr:col>
      <xdr:colOff>0</xdr:colOff>
      <xdr:row>14</xdr:row>
      <xdr:rowOff>183931</xdr:rowOff>
    </xdr:to>
    <xdr:cxnSp macro="">
      <xdr:nvCxnSpPr>
        <xdr:cNvPr id="19" name="Conector recto de flecha 3">
          <a:extLst>
            <a:ext uri="{FF2B5EF4-FFF2-40B4-BE49-F238E27FC236}">
              <a16:creationId xmlns:a16="http://schemas.microsoft.com/office/drawing/2014/main" id="{6C648794-18CB-48DE-A26F-57FAAB742A67}"/>
            </a:ext>
          </a:extLst>
        </xdr:cNvPr>
        <xdr:cNvCxnSpPr/>
      </xdr:nvCxnSpPr>
      <xdr:spPr>
        <a:xfrm flipV="1">
          <a:off x="7048500" y="26125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13</xdr:row>
      <xdr:rowOff>190500</xdr:rowOff>
    </xdr:from>
    <xdr:to>
      <xdr:col>34</xdr:col>
      <xdr:colOff>0</xdr:colOff>
      <xdr:row>14</xdr:row>
      <xdr:rowOff>183931</xdr:rowOff>
    </xdr:to>
    <xdr:cxnSp macro="">
      <xdr:nvCxnSpPr>
        <xdr:cNvPr id="20" name="Conector recto de flecha 3">
          <a:extLst>
            <a:ext uri="{FF2B5EF4-FFF2-40B4-BE49-F238E27FC236}">
              <a16:creationId xmlns:a16="http://schemas.microsoft.com/office/drawing/2014/main" id="{CA8A4C8D-473C-4F09-B58F-B4E9FDF0F7F1}"/>
            </a:ext>
          </a:extLst>
        </xdr:cNvPr>
        <xdr:cNvCxnSpPr/>
      </xdr:nvCxnSpPr>
      <xdr:spPr>
        <a:xfrm flipV="1">
          <a:off x="11212286" y="26125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22</xdr:row>
      <xdr:rowOff>190500</xdr:rowOff>
    </xdr:from>
    <xdr:to>
      <xdr:col>20</xdr:col>
      <xdr:colOff>0</xdr:colOff>
      <xdr:row>23</xdr:row>
      <xdr:rowOff>183931</xdr:rowOff>
    </xdr:to>
    <xdr:cxnSp macro="">
      <xdr:nvCxnSpPr>
        <xdr:cNvPr id="22" name="Conector recto de flecha 3">
          <a:extLst>
            <a:ext uri="{FF2B5EF4-FFF2-40B4-BE49-F238E27FC236}">
              <a16:creationId xmlns:a16="http://schemas.microsoft.com/office/drawing/2014/main" id="{3EDBBB60-941F-4081-9DBD-F8F45262348E}"/>
            </a:ext>
          </a:extLst>
        </xdr:cNvPr>
        <xdr:cNvCxnSpPr/>
      </xdr:nvCxnSpPr>
      <xdr:spPr>
        <a:xfrm flipV="1">
          <a:off x="7783286" y="41365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22</xdr:row>
      <xdr:rowOff>190500</xdr:rowOff>
    </xdr:from>
    <xdr:to>
      <xdr:col>18</xdr:col>
      <xdr:colOff>0</xdr:colOff>
      <xdr:row>23</xdr:row>
      <xdr:rowOff>183931</xdr:rowOff>
    </xdr:to>
    <xdr:cxnSp macro="">
      <xdr:nvCxnSpPr>
        <xdr:cNvPr id="23" name="Conector recto de flecha 3">
          <a:extLst>
            <a:ext uri="{FF2B5EF4-FFF2-40B4-BE49-F238E27FC236}">
              <a16:creationId xmlns:a16="http://schemas.microsoft.com/office/drawing/2014/main" id="{81DEB7D2-F2EA-4ACF-82DF-61DAEDDE86C3}"/>
            </a:ext>
          </a:extLst>
        </xdr:cNvPr>
        <xdr:cNvCxnSpPr/>
      </xdr:nvCxnSpPr>
      <xdr:spPr>
        <a:xfrm flipV="1">
          <a:off x="7293429" y="41365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22</xdr:row>
      <xdr:rowOff>190500</xdr:rowOff>
    </xdr:from>
    <xdr:to>
      <xdr:col>36</xdr:col>
      <xdr:colOff>0</xdr:colOff>
      <xdr:row>23</xdr:row>
      <xdr:rowOff>183931</xdr:rowOff>
    </xdr:to>
    <xdr:cxnSp macro="">
      <xdr:nvCxnSpPr>
        <xdr:cNvPr id="24" name="Conector recto de flecha 3">
          <a:extLst>
            <a:ext uri="{FF2B5EF4-FFF2-40B4-BE49-F238E27FC236}">
              <a16:creationId xmlns:a16="http://schemas.microsoft.com/office/drawing/2014/main" id="{4951CE39-494E-439D-9077-0BB7C2E102F0}"/>
            </a:ext>
          </a:extLst>
        </xdr:cNvPr>
        <xdr:cNvCxnSpPr/>
      </xdr:nvCxnSpPr>
      <xdr:spPr>
        <a:xfrm flipV="1">
          <a:off x="11702143" y="41365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22</xdr:row>
      <xdr:rowOff>190500</xdr:rowOff>
    </xdr:from>
    <xdr:to>
      <xdr:col>34</xdr:col>
      <xdr:colOff>0</xdr:colOff>
      <xdr:row>23</xdr:row>
      <xdr:rowOff>183931</xdr:rowOff>
    </xdr:to>
    <xdr:cxnSp macro="">
      <xdr:nvCxnSpPr>
        <xdr:cNvPr id="25" name="Conector recto de flecha 3">
          <a:extLst>
            <a:ext uri="{FF2B5EF4-FFF2-40B4-BE49-F238E27FC236}">
              <a16:creationId xmlns:a16="http://schemas.microsoft.com/office/drawing/2014/main" id="{4A05BE74-E4B5-4616-BDF9-931918A3154F}"/>
            </a:ext>
          </a:extLst>
        </xdr:cNvPr>
        <xdr:cNvCxnSpPr/>
      </xdr:nvCxnSpPr>
      <xdr:spPr>
        <a:xfrm flipV="1">
          <a:off x="11212286" y="41365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13</xdr:row>
      <xdr:rowOff>190500</xdr:rowOff>
    </xdr:from>
    <xdr:to>
      <xdr:col>36</xdr:col>
      <xdr:colOff>0</xdr:colOff>
      <xdr:row>14</xdr:row>
      <xdr:rowOff>183931</xdr:rowOff>
    </xdr:to>
    <xdr:cxnSp macro="">
      <xdr:nvCxnSpPr>
        <xdr:cNvPr id="26" name="Conector recto de flecha 3">
          <a:extLst>
            <a:ext uri="{FF2B5EF4-FFF2-40B4-BE49-F238E27FC236}">
              <a16:creationId xmlns:a16="http://schemas.microsoft.com/office/drawing/2014/main" id="{1B14E0F2-2DF2-426D-835C-9FC202408F58}"/>
            </a:ext>
          </a:extLst>
        </xdr:cNvPr>
        <xdr:cNvCxnSpPr/>
      </xdr:nvCxnSpPr>
      <xdr:spPr>
        <a:xfrm flipV="1">
          <a:off x="11702143" y="2803071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12</xdr:rowOff>
    </xdr:from>
    <xdr:to>
      <xdr:col>10</xdr:col>
      <xdr:colOff>0</xdr:colOff>
      <xdr:row>8</xdr:row>
      <xdr:rowOff>183943</xdr:rowOff>
    </xdr:to>
    <xdr:cxnSp macro="">
      <xdr:nvCxnSpPr>
        <xdr:cNvPr id="2" name="Conector recto de flecha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V="1">
          <a:off x="5334000" y="1676412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</xdr:row>
      <xdr:rowOff>190500</xdr:rowOff>
    </xdr:from>
    <xdr:to>
      <xdr:col>12</xdr:col>
      <xdr:colOff>0</xdr:colOff>
      <xdr:row>8</xdr:row>
      <xdr:rowOff>183931</xdr:rowOff>
    </xdr:to>
    <xdr:cxnSp macro="">
      <xdr:nvCxnSpPr>
        <xdr:cNvPr id="3" name="Conector recto de flecha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 flipV="1">
          <a:off x="5829300" y="16764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244928</xdr:colOff>
      <xdr:row>7</xdr:row>
      <xdr:rowOff>190500</xdr:rowOff>
    </xdr:from>
    <xdr:to>
      <xdr:col>15</xdr:col>
      <xdr:colOff>244928</xdr:colOff>
      <xdr:row>8</xdr:row>
      <xdr:rowOff>183931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 flipV="1">
          <a:off x="6817178" y="16764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244928</xdr:colOff>
      <xdr:row>7</xdr:row>
      <xdr:rowOff>190500</xdr:rowOff>
    </xdr:from>
    <xdr:to>
      <xdr:col>29</xdr:col>
      <xdr:colOff>244928</xdr:colOff>
      <xdr:row>8</xdr:row>
      <xdr:rowOff>183931</xdr:rowOff>
    </xdr:to>
    <xdr:cxnSp macro="">
      <xdr:nvCxnSpPr>
        <xdr:cNvPr id="5" name="Conector recto de flecha 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 flipV="1">
          <a:off x="10284278" y="16764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190500</xdr:rowOff>
    </xdr:from>
    <xdr:to>
      <xdr:col>12</xdr:col>
      <xdr:colOff>0</xdr:colOff>
      <xdr:row>18</xdr:row>
      <xdr:rowOff>183931</xdr:rowOff>
    </xdr:to>
    <xdr:cxnSp macro="">
      <xdr:nvCxnSpPr>
        <xdr:cNvPr id="6" name="Conector recto de flecha 3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 flipV="1">
          <a:off x="5829300" y="32004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244928</xdr:colOff>
      <xdr:row>17</xdr:row>
      <xdr:rowOff>190500</xdr:rowOff>
    </xdr:from>
    <xdr:to>
      <xdr:col>15</xdr:col>
      <xdr:colOff>244928</xdr:colOff>
      <xdr:row>18</xdr:row>
      <xdr:rowOff>183931</xdr:rowOff>
    </xdr:to>
    <xdr:cxnSp macro="">
      <xdr:nvCxnSpPr>
        <xdr:cNvPr id="7" name="Conector recto de flecha 3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 flipV="1">
          <a:off x="6817178" y="32004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244928</xdr:colOff>
      <xdr:row>17</xdr:row>
      <xdr:rowOff>190500</xdr:rowOff>
    </xdr:from>
    <xdr:to>
      <xdr:col>29</xdr:col>
      <xdr:colOff>244928</xdr:colOff>
      <xdr:row>18</xdr:row>
      <xdr:rowOff>183931</xdr:rowOff>
    </xdr:to>
    <xdr:cxnSp macro="">
      <xdr:nvCxnSpPr>
        <xdr:cNvPr id="8" name="Conector recto de flecha 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/>
      </xdr:nvCxnSpPr>
      <xdr:spPr>
        <a:xfrm flipV="1">
          <a:off x="10284278" y="32004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</xdr:row>
      <xdr:rowOff>190500</xdr:rowOff>
    </xdr:from>
    <xdr:to>
      <xdr:col>10</xdr:col>
      <xdr:colOff>0</xdr:colOff>
      <xdr:row>18</xdr:row>
      <xdr:rowOff>183931</xdr:rowOff>
    </xdr:to>
    <xdr:cxnSp macro="">
      <xdr:nvCxnSpPr>
        <xdr:cNvPr id="9" name="Conector recto de flecha 3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/>
      </xdr:nvCxnSpPr>
      <xdr:spPr>
        <a:xfrm flipV="1">
          <a:off x="5334000" y="32004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27</xdr:row>
      <xdr:rowOff>190500</xdr:rowOff>
    </xdr:from>
    <xdr:to>
      <xdr:col>12</xdr:col>
      <xdr:colOff>0</xdr:colOff>
      <xdr:row>28</xdr:row>
      <xdr:rowOff>183931</xdr:rowOff>
    </xdr:to>
    <xdr:cxnSp macro="">
      <xdr:nvCxnSpPr>
        <xdr:cNvPr id="10" name="Conector recto de flecha 3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CxnSpPr/>
      </xdr:nvCxnSpPr>
      <xdr:spPr>
        <a:xfrm flipV="1">
          <a:off x="5829300" y="47244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244928</xdr:colOff>
      <xdr:row>27</xdr:row>
      <xdr:rowOff>190500</xdr:rowOff>
    </xdr:from>
    <xdr:to>
      <xdr:col>15</xdr:col>
      <xdr:colOff>244928</xdr:colOff>
      <xdr:row>28</xdr:row>
      <xdr:rowOff>183931</xdr:rowOff>
    </xdr:to>
    <xdr:cxnSp macro="">
      <xdr:nvCxnSpPr>
        <xdr:cNvPr id="11" name="Conector recto de flecha 3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CxnSpPr/>
      </xdr:nvCxnSpPr>
      <xdr:spPr>
        <a:xfrm flipV="1">
          <a:off x="6817178" y="47244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244928</xdr:colOff>
      <xdr:row>27</xdr:row>
      <xdr:rowOff>190500</xdr:rowOff>
    </xdr:from>
    <xdr:to>
      <xdr:col>29</xdr:col>
      <xdr:colOff>244928</xdr:colOff>
      <xdr:row>28</xdr:row>
      <xdr:rowOff>183931</xdr:rowOff>
    </xdr:to>
    <xdr:cxnSp macro="">
      <xdr:nvCxnSpPr>
        <xdr:cNvPr id="12" name="Conector recto de flecha 3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CxnSpPr/>
      </xdr:nvCxnSpPr>
      <xdr:spPr>
        <a:xfrm flipV="1">
          <a:off x="10284278" y="47244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27</xdr:row>
      <xdr:rowOff>190500</xdr:rowOff>
    </xdr:from>
    <xdr:to>
      <xdr:col>10</xdr:col>
      <xdr:colOff>0</xdr:colOff>
      <xdr:row>28</xdr:row>
      <xdr:rowOff>183931</xdr:rowOff>
    </xdr:to>
    <xdr:cxnSp macro="">
      <xdr:nvCxnSpPr>
        <xdr:cNvPr id="13" name="Conector recto de flecha 3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CxnSpPr/>
      </xdr:nvCxnSpPr>
      <xdr:spPr>
        <a:xfrm flipV="1">
          <a:off x="5334000" y="47244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5</xdr:row>
      <xdr:rowOff>0</xdr:rowOff>
    </xdr:from>
    <xdr:to>
      <xdr:col>38</xdr:col>
      <xdr:colOff>0</xdr:colOff>
      <xdr:row>5</xdr:row>
      <xdr:rowOff>183931</xdr:rowOff>
    </xdr:to>
    <xdr:cxnSp macro="">
      <xdr:nvCxnSpPr>
        <xdr:cNvPr id="14" name="Conector recto de flecha 3">
          <a:extLst>
            <a:ext uri="{FF2B5EF4-FFF2-40B4-BE49-F238E27FC236}">
              <a16:creationId xmlns:a16="http://schemas.microsoft.com/office/drawing/2014/main" id="{2E7B7D11-16A3-47D8-9BEA-CEB6474FE2C8}"/>
            </a:ext>
          </a:extLst>
        </xdr:cNvPr>
        <xdr:cNvCxnSpPr/>
      </xdr:nvCxnSpPr>
      <xdr:spPr>
        <a:xfrm flipV="1">
          <a:off x="10795000" y="1016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183931</xdr:rowOff>
    </xdr:to>
    <xdr:cxnSp macro="">
      <xdr:nvCxnSpPr>
        <xdr:cNvPr id="15" name="Conector recto de flecha 3">
          <a:extLst>
            <a:ext uri="{FF2B5EF4-FFF2-40B4-BE49-F238E27FC236}">
              <a16:creationId xmlns:a16="http://schemas.microsoft.com/office/drawing/2014/main" id="{DAED463F-6987-4E2F-862D-7EF38E06730C}"/>
            </a:ext>
          </a:extLst>
        </xdr:cNvPr>
        <xdr:cNvCxnSpPr/>
      </xdr:nvCxnSpPr>
      <xdr:spPr>
        <a:xfrm flipV="1">
          <a:off x="8216900" y="1016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5</xdr:row>
      <xdr:rowOff>0</xdr:rowOff>
    </xdr:from>
    <xdr:to>
      <xdr:col>55</xdr:col>
      <xdr:colOff>0</xdr:colOff>
      <xdr:row>5</xdr:row>
      <xdr:rowOff>183931</xdr:rowOff>
    </xdr:to>
    <xdr:cxnSp macro="">
      <xdr:nvCxnSpPr>
        <xdr:cNvPr id="16" name="Conector recto de flecha 3">
          <a:extLst>
            <a:ext uri="{FF2B5EF4-FFF2-40B4-BE49-F238E27FC236}">
              <a16:creationId xmlns:a16="http://schemas.microsoft.com/office/drawing/2014/main" id="{81B779A9-647E-4253-BC14-7F16FF130331}"/>
            </a:ext>
          </a:extLst>
        </xdr:cNvPr>
        <xdr:cNvCxnSpPr/>
      </xdr:nvCxnSpPr>
      <xdr:spPr>
        <a:xfrm flipV="1">
          <a:off x="13925550" y="1016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0</xdr:colOff>
      <xdr:row>5</xdr:row>
      <xdr:rowOff>0</xdr:rowOff>
    </xdr:from>
    <xdr:to>
      <xdr:col>48</xdr:col>
      <xdr:colOff>0</xdr:colOff>
      <xdr:row>5</xdr:row>
      <xdr:rowOff>183931</xdr:rowOff>
    </xdr:to>
    <xdr:cxnSp macro="">
      <xdr:nvCxnSpPr>
        <xdr:cNvPr id="17" name="Conector recto de flecha 3">
          <a:extLst>
            <a:ext uri="{FF2B5EF4-FFF2-40B4-BE49-F238E27FC236}">
              <a16:creationId xmlns:a16="http://schemas.microsoft.com/office/drawing/2014/main" id="{C819A905-E73E-4197-9E7D-A447C8A04775}"/>
            </a:ext>
          </a:extLst>
        </xdr:cNvPr>
        <xdr:cNvCxnSpPr/>
      </xdr:nvCxnSpPr>
      <xdr:spPr>
        <a:xfrm flipV="1">
          <a:off x="12636500" y="1016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15</xdr:row>
      <xdr:rowOff>0</xdr:rowOff>
    </xdr:from>
    <xdr:to>
      <xdr:col>31</xdr:col>
      <xdr:colOff>0</xdr:colOff>
      <xdr:row>15</xdr:row>
      <xdr:rowOff>183931</xdr:rowOff>
    </xdr:to>
    <xdr:cxnSp macro="">
      <xdr:nvCxnSpPr>
        <xdr:cNvPr id="18" name="Conector recto de flecha 3">
          <a:extLst>
            <a:ext uri="{FF2B5EF4-FFF2-40B4-BE49-F238E27FC236}">
              <a16:creationId xmlns:a16="http://schemas.microsoft.com/office/drawing/2014/main" id="{4581E45F-8112-4021-90FF-24416596F3D0}"/>
            </a:ext>
          </a:extLst>
        </xdr:cNvPr>
        <xdr:cNvCxnSpPr/>
      </xdr:nvCxnSpPr>
      <xdr:spPr>
        <a:xfrm flipV="1">
          <a:off x="9505950" y="29337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15</xdr:row>
      <xdr:rowOff>0</xdr:rowOff>
    </xdr:from>
    <xdr:to>
      <xdr:col>23</xdr:col>
      <xdr:colOff>0</xdr:colOff>
      <xdr:row>15</xdr:row>
      <xdr:rowOff>183931</xdr:rowOff>
    </xdr:to>
    <xdr:cxnSp macro="">
      <xdr:nvCxnSpPr>
        <xdr:cNvPr id="19" name="Conector recto de flecha 3">
          <a:extLst>
            <a:ext uri="{FF2B5EF4-FFF2-40B4-BE49-F238E27FC236}">
              <a16:creationId xmlns:a16="http://schemas.microsoft.com/office/drawing/2014/main" id="{A42BED77-36B1-42D5-B6E5-30CBA109BD45}"/>
            </a:ext>
          </a:extLst>
        </xdr:cNvPr>
        <xdr:cNvCxnSpPr/>
      </xdr:nvCxnSpPr>
      <xdr:spPr>
        <a:xfrm flipV="1">
          <a:off x="8032750" y="29337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0</xdr:colOff>
      <xdr:row>15</xdr:row>
      <xdr:rowOff>0</xdr:rowOff>
    </xdr:from>
    <xdr:to>
      <xdr:col>48</xdr:col>
      <xdr:colOff>0</xdr:colOff>
      <xdr:row>15</xdr:row>
      <xdr:rowOff>183931</xdr:rowOff>
    </xdr:to>
    <xdr:cxnSp macro="">
      <xdr:nvCxnSpPr>
        <xdr:cNvPr id="20" name="Conector recto de flecha 3">
          <a:extLst>
            <a:ext uri="{FF2B5EF4-FFF2-40B4-BE49-F238E27FC236}">
              <a16:creationId xmlns:a16="http://schemas.microsoft.com/office/drawing/2014/main" id="{CEC58924-E744-4887-A25F-8E5FC776064B}"/>
            </a:ext>
          </a:extLst>
        </xdr:cNvPr>
        <xdr:cNvCxnSpPr/>
      </xdr:nvCxnSpPr>
      <xdr:spPr>
        <a:xfrm flipV="1">
          <a:off x="12636500" y="29337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15</xdr:row>
      <xdr:rowOff>0</xdr:rowOff>
    </xdr:from>
    <xdr:to>
      <xdr:col>43</xdr:col>
      <xdr:colOff>0</xdr:colOff>
      <xdr:row>15</xdr:row>
      <xdr:rowOff>183931</xdr:rowOff>
    </xdr:to>
    <xdr:cxnSp macro="">
      <xdr:nvCxnSpPr>
        <xdr:cNvPr id="21" name="Conector recto de flecha 3">
          <a:extLst>
            <a:ext uri="{FF2B5EF4-FFF2-40B4-BE49-F238E27FC236}">
              <a16:creationId xmlns:a16="http://schemas.microsoft.com/office/drawing/2014/main" id="{727AF3CB-B6C8-4239-9A42-7C1D192FBBB9}"/>
            </a:ext>
          </a:extLst>
        </xdr:cNvPr>
        <xdr:cNvCxnSpPr/>
      </xdr:nvCxnSpPr>
      <xdr:spPr>
        <a:xfrm flipV="1">
          <a:off x="11715750" y="29337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25</xdr:row>
      <xdr:rowOff>0</xdr:rowOff>
    </xdr:from>
    <xdr:to>
      <xdr:col>19</xdr:col>
      <xdr:colOff>0</xdr:colOff>
      <xdr:row>25</xdr:row>
      <xdr:rowOff>183931</xdr:rowOff>
    </xdr:to>
    <xdr:cxnSp macro="">
      <xdr:nvCxnSpPr>
        <xdr:cNvPr id="23" name="Conector recto de flecha 3">
          <a:extLst>
            <a:ext uri="{FF2B5EF4-FFF2-40B4-BE49-F238E27FC236}">
              <a16:creationId xmlns:a16="http://schemas.microsoft.com/office/drawing/2014/main" id="{338F7938-421F-4102-AADE-710B2FF811E3}"/>
            </a:ext>
          </a:extLst>
        </xdr:cNvPr>
        <xdr:cNvCxnSpPr/>
      </xdr:nvCxnSpPr>
      <xdr:spPr>
        <a:xfrm flipV="1">
          <a:off x="7296150" y="46482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25</xdr:row>
      <xdr:rowOff>0</xdr:rowOff>
    </xdr:from>
    <xdr:to>
      <xdr:col>41</xdr:col>
      <xdr:colOff>0</xdr:colOff>
      <xdr:row>25</xdr:row>
      <xdr:rowOff>183931</xdr:rowOff>
    </xdr:to>
    <xdr:cxnSp macro="">
      <xdr:nvCxnSpPr>
        <xdr:cNvPr id="24" name="Conector recto de flecha 3">
          <a:extLst>
            <a:ext uri="{FF2B5EF4-FFF2-40B4-BE49-F238E27FC236}">
              <a16:creationId xmlns:a16="http://schemas.microsoft.com/office/drawing/2014/main" id="{1A68F7A8-901D-4589-BAB9-5EA844D5C4DF}"/>
            </a:ext>
          </a:extLst>
        </xdr:cNvPr>
        <xdr:cNvCxnSpPr/>
      </xdr:nvCxnSpPr>
      <xdr:spPr>
        <a:xfrm flipV="1">
          <a:off x="11347450" y="46482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25</xdr:row>
      <xdr:rowOff>0</xdr:rowOff>
    </xdr:from>
    <xdr:to>
      <xdr:col>38</xdr:col>
      <xdr:colOff>0</xdr:colOff>
      <xdr:row>25</xdr:row>
      <xdr:rowOff>183931</xdr:rowOff>
    </xdr:to>
    <xdr:cxnSp macro="">
      <xdr:nvCxnSpPr>
        <xdr:cNvPr id="25" name="Conector recto de flecha 3">
          <a:extLst>
            <a:ext uri="{FF2B5EF4-FFF2-40B4-BE49-F238E27FC236}">
              <a16:creationId xmlns:a16="http://schemas.microsoft.com/office/drawing/2014/main" id="{34D593FD-609F-4094-8713-EB39E13466F2}"/>
            </a:ext>
          </a:extLst>
        </xdr:cNvPr>
        <xdr:cNvCxnSpPr/>
      </xdr:nvCxnSpPr>
      <xdr:spPr>
        <a:xfrm flipV="1">
          <a:off x="10795000" y="46482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25</xdr:row>
      <xdr:rowOff>0</xdr:rowOff>
    </xdr:from>
    <xdr:to>
      <xdr:col>22</xdr:col>
      <xdr:colOff>0</xdr:colOff>
      <xdr:row>25</xdr:row>
      <xdr:rowOff>183931</xdr:rowOff>
    </xdr:to>
    <xdr:cxnSp macro="">
      <xdr:nvCxnSpPr>
        <xdr:cNvPr id="26" name="Conector recto de flecha 3">
          <a:extLst>
            <a:ext uri="{FF2B5EF4-FFF2-40B4-BE49-F238E27FC236}">
              <a16:creationId xmlns:a16="http://schemas.microsoft.com/office/drawing/2014/main" id="{F82D9E59-E233-4BD1-9ECE-5C7E91EA1156}"/>
            </a:ext>
          </a:extLst>
        </xdr:cNvPr>
        <xdr:cNvCxnSpPr/>
      </xdr:nvCxnSpPr>
      <xdr:spPr>
        <a:xfrm flipV="1">
          <a:off x="7848600" y="46482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12</xdr:col>
      <xdr:colOff>0</xdr:colOff>
      <xdr:row>2</xdr:row>
      <xdr:rowOff>183931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CBEA31F1-27C1-4C8F-86FA-112A4ECD39B0}"/>
            </a:ext>
          </a:extLst>
        </xdr:cNvPr>
        <xdr:cNvCxnSpPr/>
      </xdr:nvCxnSpPr>
      <xdr:spPr>
        <a:xfrm rot="10800000" flipV="1">
          <a:off x="8972550" y="571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</xdr:row>
      <xdr:rowOff>0</xdr:rowOff>
    </xdr:from>
    <xdr:to>
      <xdr:col>13</xdr:col>
      <xdr:colOff>0</xdr:colOff>
      <xdr:row>2</xdr:row>
      <xdr:rowOff>183931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659567DE-889D-4C09-8F40-080A0866A053}"/>
            </a:ext>
          </a:extLst>
        </xdr:cNvPr>
        <xdr:cNvCxnSpPr/>
      </xdr:nvCxnSpPr>
      <xdr:spPr>
        <a:xfrm rot="10800000" flipV="1">
          <a:off x="9220200" y="571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</xdr:row>
      <xdr:rowOff>0</xdr:rowOff>
    </xdr:from>
    <xdr:to>
      <xdr:col>15</xdr:col>
      <xdr:colOff>0</xdr:colOff>
      <xdr:row>2</xdr:row>
      <xdr:rowOff>183931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7966A916-E764-40C6-A026-E1EB2A78C0F6}"/>
            </a:ext>
          </a:extLst>
        </xdr:cNvPr>
        <xdr:cNvCxnSpPr/>
      </xdr:nvCxnSpPr>
      <xdr:spPr>
        <a:xfrm rot="10800000" flipV="1">
          <a:off x="9715500" y="571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183931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40804E93-4D61-4442-BCD1-1F66EB7CE8D3}"/>
            </a:ext>
          </a:extLst>
        </xdr:cNvPr>
        <xdr:cNvCxnSpPr/>
      </xdr:nvCxnSpPr>
      <xdr:spPr>
        <a:xfrm rot="10800000" flipV="1">
          <a:off x="10210800" y="571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</xdr:row>
      <xdr:rowOff>0</xdr:rowOff>
    </xdr:from>
    <xdr:to>
      <xdr:col>11</xdr:col>
      <xdr:colOff>0</xdr:colOff>
      <xdr:row>2</xdr:row>
      <xdr:rowOff>183931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BB58D618-2D8E-41E5-AA9C-33C19D8087A7}"/>
            </a:ext>
          </a:extLst>
        </xdr:cNvPr>
        <xdr:cNvCxnSpPr/>
      </xdr:nvCxnSpPr>
      <xdr:spPr>
        <a:xfrm rot="10800000" flipV="1">
          <a:off x="8724900" y="762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10</xdr:row>
      <xdr:rowOff>0</xdr:rowOff>
    </xdr:from>
    <xdr:to>
      <xdr:col>26</xdr:col>
      <xdr:colOff>0</xdr:colOff>
      <xdr:row>10</xdr:row>
      <xdr:rowOff>183931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A5A2FF13-73E0-4252-942F-981252A2DA09}"/>
            </a:ext>
          </a:extLst>
        </xdr:cNvPr>
        <xdr:cNvCxnSpPr/>
      </xdr:nvCxnSpPr>
      <xdr:spPr>
        <a:xfrm rot="10800000" flipV="1">
          <a:off x="12439650" y="2286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10</xdr:row>
      <xdr:rowOff>0</xdr:rowOff>
    </xdr:from>
    <xdr:to>
      <xdr:col>20</xdr:col>
      <xdr:colOff>0</xdr:colOff>
      <xdr:row>10</xdr:row>
      <xdr:rowOff>183931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BE2CBD68-EA96-4C8F-BFC0-D8EC820402A1}"/>
            </a:ext>
          </a:extLst>
        </xdr:cNvPr>
        <xdr:cNvCxnSpPr/>
      </xdr:nvCxnSpPr>
      <xdr:spPr>
        <a:xfrm rot="10800000" flipV="1">
          <a:off x="10953750" y="2286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10</xdr:row>
      <xdr:rowOff>0</xdr:rowOff>
    </xdr:from>
    <xdr:to>
      <xdr:col>29</xdr:col>
      <xdr:colOff>0</xdr:colOff>
      <xdr:row>10</xdr:row>
      <xdr:rowOff>183931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E38AFA46-6672-40B9-9F7F-F74BE197D8A3}"/>
            </a:ext>
          </a:extLst>
        </xdr:cNvPr>
        <xdr:cNvCxnSpPr/>
      </xdr:nvCxnSpPr>
      <xdr:spPr>
        <a:xfrm rot="10800000" flipV="1">
          <a:off x="13182600" y="2286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10</xdr:row>
      <xdr:rowOff>0</xdr:rowOff>
    </xdr:from>
    <xdr:to>
      <xdr:col>23</xdr:col>
      <xdr:colOff>0</xdr:colOff>
      <xdr:row>10</xdr:row>
      <xdr:rowOff>183931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3F11BF3B-CA88-4ECE-AD06-023BDC89DF43}"/>
            </a:ext>
          </a:extLst>
        </xdr:cNvPr>
        <xdr:cNvCxnSpPr/>
      </xdr:nvCxnSpPr>
      <xdr:spPr>
        <a:xfrm rot="10800000" flipV="1">
          <a:off x="11696700" y="2286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10</xdr:row>
      <xdr:rowOff>0</xdr:rowOff>
    </xdr:from>
    <xdr:to>
      <xdr:col>31</xdr:col>
      <xdr:colOff>0</xdr:colOff>
      <xdr:row>10</xdr:row>
      <xdr:rowOff>183931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E962E543-965D-4398-8E97-07D6535F06E4}"/>
            </a:ext>
          </a:extLst>
        </xdr:cNvPr>
        <xdr:cNvCxnSpPr/>
      </xdr:nvCxnSpPr>
      <xdr:spPr>
        <a:xfrm rot="10800000" flipV="1">
          <a:off x="13677900" y="2286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0</xdr:rowOff>
    </xdr:from>
    <xdr:to>
      <xdr:col>11</xdr:col>
      <xdr:colOff>0</xdr:colOff>
      <xdr:row>16</xdr:row>
      <xdr:rowOff>183931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1E56504F-97E5-465A-81FA-077434E31F8A}"/>
            </a:ext>
          </a:extLst>
        </xdr:cNvPr>
        <xdr:cNvCxnSpPr/>
      </xdr:nvCxnSpPr>
      <xdr:spPr>
        <a:xfrm rot="10800000" flipV="1">
          <a:off x="8724900" y="3048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</xdr:row>
      <xdr:rowOff>0</xdr:rowOff>
    </xdr:from>
    <xdr:to>
      <xdr:col>14</xdr:col>
      <xdr:colOff>0</xdr:colOff>
      <xdr:row>16</xdr:row>
      <xdr:rowOff>183931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5FB2FCC8-686A-456E-B20E-E840D2506967}"/>
            </a:ext>
          </a:extLst>
        </xdr:cNvPr>
        <xdr:cNvCxnSpPr/>
      </xdr:nvCxnSpPr>
      <xdr:spPr>
        <a:xfrm rot="10800000" flipV="1">
          <a:off x="9467850" y="3048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16</xdr:row>
      <xdr:rowOff>0</xdr:rowOff>
    </xdr:from>
    <xdr:to>
      <xdr:col>16</xdr:col>
      <xdr:colOff>0</xdr:colOff>
      <xdr:row>16</xdr:row>
      <xdr:rowOff>183931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8D3D327B-85F0-4B34-BE01-6B09707BA1F3}"/>
            </a:ext>
          </a:extLst>
        </xdr:cNvPr>
        <xdr:cNvCxnSpPr/>
      </xdr:nvCxnSpPr>
      <xdr:spPr>
        <a:xfrm rot="10800000" flipV="1">
          <a:off x="9963150" y="3048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16</xdr:row>
      <xdr:rowOff>0</xdr:rowOff>
    </xdr:from>
    <xdr:to>
      <xdr:col>18</xdr:col>
      <xdr:colOff>0</xdr:colOff>
      <xdr:row>16</xdr:row>
      <xdr:rowOff>183931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A88624B4-96D0-4566-8A67-4D3E930DC992}"/>
            </a:ext>
          </a:extLst>
        </xdr:cNvPr>
        <xdr:cNvCxnSpPr/>
      </xdr:nvCxnSpPr>
      <xdr:spPr>
        <a:xfrm rot="10800000" flipV="1">
          <a:off x="10458450" y="3048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16</xdr:row>
      <xdr:rowOff>0</xdr:rowOff>
    </xdr:from>
    <xdr:to>
      <xdr:col>19</xdr:col>
      <xdr:colOff>0</xdr:colOff>
      <xdr:row>16</xdr:row>
      <xdr:rowOff>183931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A193A4C8-BA4F-42AE-BA61-B6151CE1D926}"/>
            </a:ext>
          </a:extLst>
        </xdr:cNvPr>
        <xdr:cNvCxnSpPr/>
      </xdr:nvCxnSpPr>
      <xdr:spPr>
        <a:xfrm rot="10800000" flipV="1">
          <a:off x="10706100" y="3048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22</xdr:row>
      <xdr:rowOff>0</xdr:rowOff>
    </xdr:from>
    <xdr:to>
      <xdr:col>15</xdr:col>
      <xdr:colOff>0</xdr:colOff>
      <xdr:row>22</xdr:row>
      <xdr:rowOff>183931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623C02B4-12C7-4EFF-B065-6168922C740F}"/>
            </a:ext>
          </a:extLst>
        </xdr:cNvPr>
        <xdr:cNvCxnSpPr/>
      </xdr:nvCxnSpPr>
      <xdr:spPr>
        <a:xfrm rot="10800000" flipV="1">
          <a:off x="9715500" y="4191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22</xdr:row>
      <xdr:rowOff>0</xdr:rowOff>
    </xdr:from>
    <xdr:to>
      <xdr:col>20</xdr:col>
      <xdr:colOff>0</xdr:colOff>
      <xdr:row>22</xdr:row>
      <xdr:rowOff>183931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3E2DD966-60B4-49A8-8811-1865DC6D7816}"/>
            </a:ext>
          </a:extLst>
        </xdr:cNvPr>
        <xdr:cNvCxnSpPr/>
      </xdr:nvCxnSpPr>
      <xdr:spPr>
        <a:xfrm rot="10800000" flipV="1">
          <a:off x="10953750" y="4191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22</xdr:row>
      <xdr:rowOff>0</xdr:rowOff>
    </xdr:from>
    <xdr:to>
      <xdr:col>27</xdr:col>
      <xdr:colOff>0</xdr:colOff>
      <xdr:row>22</xdr:row>
      <xdr:rowOff>183931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329ADC90-B444-4325-BA0B-71323A7D3FB9}"/>
            </a:ext>
          </a:extLst>
        </xdr:cNvPr>
        <xdr:cNvCxnSpPr/>
      </xdr:nvCxnSpPr>
      <xdr:spPr>
        <a:xfrm rot="10800000" flipV="1">
          <a:off x="12687300" y="4191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22</xdr:row>
      <xdr:rowOff>0</xdr:rowOff>
    </xdr:from>
    <xdr:to>
      <xdr:col>35</xdr:col>
      <xdr:colOff>0</xdr:colOff>
      <xdr:row>22</xdr:row>
      <xdr:rowOff>183931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1FDA12CB-AFB7-4765-A109-5635298D03F6}"/>
            </a:ext>
          </a:extLst>
        </xdr:cNvPr>
        <xdr:cNvCxnSpPr/>
      </xdr:nvCxnSpPr>
      <xdr:spPr>
        <a:xfrm rot="10800000" flipV="1">
          <a:off x="14668500" y="4191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22</xdr:row>
      <xdr:rowOff>0</xdr:rowOff>
    </xdr:from>
    <xdr:to>
      <xdr:col>38</xdr:col>
      <xdr:colOff>0</xdr:colOff>
      <xdr:row>22</xdr:row>
      <xdr:rowOff>183931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BBA3F792-077C-4B09-8E1C-9A4F8C94D6A3}"/>
            </a:ext>
          </a:extLst>
        </xdr:cNvPr>
        <xdr:cNvCxnSpPr/>
      </xdr:nvCxnSpPr>
      <xdr:spPr>
        <a:xfrm rot="10800000" flipV="1">
          <a:off x="15411450" y="4191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0</xdr:colOff>
      <xdr:row>27</xdr:row>
      <xdr:rowOff>183931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A312E41B-67ED-4668-BBE3-4C596880F910}"/>
            </a:ext>
          </a:extLst>
        </xdr:cNvPr>
        <xdr:cNvCxnSpPr/>
      </xdr:nvCxnSpPr>
      <xdr:spPr>
        <a:xfrm rot="10800000" flipV="1">
          <a:off x="9467850" y="3048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27</xdr:row>
      <xdr:rowOff>0</xdr:rowOff>
    </xdr:from>
    <xdr:to>
      <xdr:col>16</xdr:col>
      <xdr:colOff>0</xdr:colOff>
      <xdr:row>27</xdr:row>
      <xdr:rowOff>183931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0271CE34-D93F-4194-BC4D-E10EA08FEB06}"/>
            </a:ext>
          </a:extLst>
        </xdr:cNvPr>
        <xdr:cNvCxnSpPr/>
      </xdr:nvCxnSpPr>
      <xdr:spPr>
        <a:xfrm rot="10800000" flipV="1">
          <a:off x="9963150" y="3048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27</xdr:row>
      <xdr:rowOff>0</xdr:rowOff>
    </xdr:from>
    <xdr:to>
      <xdr:col>18</xdr:col>
      <xdr:colOff>0</xdr:colOff>
      <xdr:row>27</xdr:row>
      <xdr:rowOff>183931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13168FC7-B035-4B01-8C91-751784FDF381}"/>
            </a:ext>
          </a:extLst>
        </xdr:cNvPr>
        <xdr:cNvCxnSpPr/>
      </xdr:nvCxnSpPr>
      <xdr:spPr>
        <a:xfrm rot="10800000" flipV="1">
          <a:off x="10458450" y="3048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0</xdr:colOff>
      <xdr:row>27</xdr:row>
      <xdr:rowOff>183931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2E3521D9-95AE-4F6F-806B-AA2E50FC258A}"/>
            </a:ext>
          </a:extLst>
        </xdr:cNvPr>
        <xdr:cNvCxnSpPr/>
      </xdr:nvCxnSpPr>
      <xdr:spPr>
        <a:xfrm rot="10800000" flipV="1">
          <a:off x="10706100" y="30480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27</xdr:row>
      <xdr:rowOff>0</xdr:rowOff>
    </xdr:from>
    <xdr:to>
      <xdr:col>11</xdr:col>
      <xdr:colOff>0</xdr:colOff>
      <xdr:row>27</xdr:row>
      <xdr:rowOff>183931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1A216E37-4253-49BD-8601-0B58A1F5DBBB}"/>
            </a:ext>
          </a:extLst>
        </xdr:cNvPr>
        <xdr:cNvCxnSpPr/>
      </xdr:nvCxnSpPr>
      <xdr:spPr>
        <a:xfrm rot="10800000" flipV="1">
          <a:off x="8724900" y="5143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35</xdr:row>
      <xdr:rowOff>0</xdr:rowOff>
    </xdr:from>
    <xdr:to>
      <xdr:col>35</xdr:col>
      <xdr:colOff>0</xdr:colOff>
      <xdr:row>35</xdr:row>
      <xdr:rowOff>183931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26DA79A-CD39-46DC-A78D-0E37AD442BBE}"/>
            </a:ext>
          </a:extLst>
        </xdr:cNvPr>
        <xdr:cNvCxnSpPr/>
      </xdr:nvCxnSpPr>
      <xdr:spPr>
        <a:xfrm rot="10800000" flipV="1">
          <a:off x="14668500" y="6667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35</xdr:row>
      <xdr:rowOff>0</xdr:rowOff>
    </xdr:from>
    <xdr:to>
      <xdr:col>26</xdr:col>
      <xdr:colOff>0</xdr:colOff>
      <xdr:row>35</xdr:row>
      <xdr:rowOff>183931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1D1C6DDA-4EB2-4841-B56F-8E743D36F28A}"/>
            </a:ext>
          </a:extLst>
        </xdr:cNvPr>
        <xdr:cNvCxnSpPr/>
      </xdr:nvCxnSpPr>
      <xdr:spPr>
        <a:xfrm rot="10800000" flipV="1">
          <a:off x="12439650" y="6667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35</xdr:row>
      <xdr:rowOff>0</xdr:rowOff>
    </xdr:from>
    <xdr:to>
      <xdr:col>34</xdr:col>
      <xdr:colOff>0</xdr:colOff>
      <xdr:row>35</xdr:row>
      <xdr:rowOff>183931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FCBB8BFE-4874-4A73-8373-6FA63D74A162}"/>
            </a:ext>
          </a:extLst>
        </xdr:cNvPr>
        <xdr:cNvCxnSpPr/>
      </xdr:nvCxnSpPr>
      <xdr:spPr>
        <a:xfrm rot="10800000" flipV="1">
          <a:off x="14420850" y="6667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35</xdr:row>
      <xdr:rowOff>0</xdr:rowOff>
    </xdr:from>
    <xdr:to>
      <xdr:col>25</xdr:col>
      <xdr:colOff>0</xdr:colOff>
      <xdr:row>35</xdr:row>
      <xdr:rowOff>183931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B9F4DFF0-ABC9-41FD-B790-CFA126C81359}"/>
            </a:ext>
          </a:extLst>
        </xdr:cNvPr>
        <xdr:cNvCxnSpPr/>
      </xdr:nvCxnSpPr>
      <xdr:spPr>
        <a:xfrm rot="10800000" flipV="1">
          <a:off x="12192000" y="6667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35</xdr:row>
      <xdr:rowOff>0</xdr:rowOff>
    </xdr:from>
    <xdr:to>
      <xdr:col>38</xdr:col>
      <xdr:colOff>0</xdr:colOff>
      <xdr:row>35</xdr:row>
      <xdr:rowOff>183931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C62564E9-2EBB-4087-8A3B-78C476AE9722}"/>
            </a:ext>
          </a:extLst>
        </xdr:cNvPr>
        <xdr:cNvCxnSpPr/>
      </xdr:nvCxnSpPr>
      <xdr:spPr>
        <a:xfrm rot="10800000" flipV="1">
          <a:off x="15411450" y="6667500"/>
          <a:ext cx="0" cy="18393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6"/>
  <sheetViews>
    <sheetView topLeftCell="A43" zoomScale="190" zoomScaleNormal="190" workbookViewId="0">
      <selection activeCell="C57" sqref="C57:H57"/>
    </sheetView>
  </sheetViews>
  <sheetFormatPr baseColWidth="10" defaultRowHeight="15"/>
  <cols>
    <col min="1" max="1" width="8.7109375" customWidth="1"/>
    <col min="2" max="2" width="8.5703125" customWidth="1"/>
    <col min="3" max="6" width="5.7109375" customWidth="1"/>
    <col min="7" max="8" width="7.7109375" customWidth="1"/>
    <col min="9" max="38" width="3.28515625" customWidth="1"/>
    <col min="39" max="39" width="17.85546875" customWidth="1"/>
    <col min="40" max="40" width="18.140625" customWidth="1"/>
    <col min="41" max="52" width="10.7109375" customWidth="1"/>
  </cols>
  <sheetData>
    <row r="1" spans="1:39">
      <c r="A1" s="121" t="s">
        <v>41</v>
      </c>
      <c r="B1" s="121"/>
      <c r="C1" s="121"/>
      <c r="D1" s="121"/>
      <c r="N1" t="s">
        <v>7</v>
      </c>
      <c r="T1" t="s">
        <v>8</v>
      </c>
      <c r="AB1" t="s">
        <v>9</v>
      </c>
      <c r="AF1" t="s">
        <v>10</v>
      </c>
      <c r="AK1" t="s">
        <v>11</v>
      </c>
    </row>
    <row r="2" spans="1:3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24</v>
      </c>
      <c r="H2" s="1" t="s">
        <v>23</v>
      </c>
    </row>
    <row r="3" spans="1:39">
      <c r="A3" s="2" t="s">
        <v>7</v>
      </c>
      <c r="B3" s="2">
        <v>1</v>
      </c>
      <c r="C3" s="2">
        <v>3</v>
      </c>
      <c r="D3" s="2">
        <v>1</v>
      </c>
      <c r="E3" s="2">
        <v>4</v>
      </c>
      <c r="F3" s="2">
        <f t="shared" ref="F3:G7" si="0">E3-B3</f>
        <v>3</v>
      </c>
      <c r="G3" s="2">
        <f t="shared" si="0"/>
        <v>0</v>
      </c>
      <c r="H3" s="26">
        <f>F3/C3</f>
        <v>1</v>
      </c>
      <c r="J3" s="5"/>
      <c r="K3" s="116" t="s">
        <v>7</v>
      </c>
      <c r="L3" s="116"/>
      <c r="M3" s="116"/>
      <c r="N3" s="117" t="s">
        <v>8</v>
      </c>
      <c r="O3" s="117"/>
      <c r="P3" s="117"/>
      <c r="Q3" s="117"/>
      <c r="R3" s="117"/>
      <c r="S3" s="117"/>
      <c r="T3" s="120" t="s">
        <v>9</v>
      </c>
      <c r="U3" s="120"/>
      <c r="V3" s="120"/>
      <c r="W3" s="120"/>
      <c r="X3" s="120"/>
      <c r="Y3" s="120"/>
      <c r="Z3" s="120"/>
      <c r="AA3" s="120"/>
      <c r="AB3" s="118" t="s">
        <v>10</v>
      </c>
      <c r="AC3" s="118"/>
      <c r="AD3" s="118"/>
      <c r="AE3" s="118"/>
      <c r="AF3" s="119" t="s">
        <v>11</v>
      </c>
      <c r="AG3" s="119"/>
      <c r="AH3" s="119"/>
      <c r="AI3" s="119"/>
      <c r="AJ3" s="119"/>
    </row>
    <row r="4" spans="1:39">
      <c r="A4" s="2" t="s">
        <v>8</v>
      </c>
      <c r="B4" s="2">
        <v>3</v>
      </c>
      <c r="C4" s="2">
        <v>6</v>
      </c>
      <c r="D4" s="2">
        <v>4</v>
      </c>
      <c r="E4" s="2">
        <v>10</v>
      </c>
      <c r="F4" s="2">
        <f t="shared" si="0"/>
        <v>7</v>
      </c>
      <c r="G4" s="2">
        <f t="shared" si="0"/>
        <v>1</v>
      </c>
      <c r="H4" s="26">
        <f>F4/C4</f>
        <v>1.1666666666666667</v>
      </c>
      <c r="J4" s="40">
        <v>0</v>
      </c>
      <c r="K4" s="40">
        <v>1</v>
      </c>
      <c r="L4" s="40"/>
      <c r="M4" s="40">
        <v>3</v>
      </c>
      <c r="N4" s="40">
        <v>4</v>
      </c>
      <c r="O4" s="40">
        <v>5</v>
      </c>
      <c r="P4" s="40"/>
      <c r="Q4" s="40">
        <v>7</v>
      </c>
      <c r="R4" s="40">
        <v>8</v>
      </c>
      <c r="S4" s="40"/>
      <c r="T4" s="40">
        <v>10</v>
      </c>
      <c r="U4" s="40"/>
      <c r="V4" s="40"/>
      <c r="W4" s="40"/>
      <c r="X4" s="40"/>
      <c r="Y4" s="40"/>
      <c r="Z4" s="40"/>
      <c r="AA4" s="40"/>
      <c r="AB4" s="40">
        <v>18</v>
      </c>
      <c r="AC4" s="40"/>
      <c r="AD4" s="40"/>
      <c r="AE4" s="40"/>
      <c r="AF4" s="40">
        <v>22</v>
      </c>
      <c r="AG4" s="40"/>
      <c r="AH4" s="40"/>
      <c r="AI4" s="40"/>
      <c r="AJ4" s="40"/>
      <c r="AK4" s="40">
        <v>27</v>
      </c>
      <c r="AM4" t="s">
        <v>64</v>
      </c>
    </row>
    <row r="5" spans="1:39">
      <c r="A5" s="2" t="s">
        <v>9</v>
      </c>
      <c r="B5" s="2">
        <v>5</v>
      </c>
      <c r="C5" s="2">
        <v>8</v>
      </c>
      <c r="D5" s="2">
        <v>10</v>
      </c>
      <c r="E5" s="2">
        <v>18</v>
      </c>
      <c r="F5" s="2">
        <f t="shared" si="0"/>
        <v>13</v>
      </c>
      <c r="G5" s="2">
        <f t="shared" si="0"/>
        <v>5</v>
      </c>
      <c r="H5" s="26">
        <f>F5/C5</f>
        <v>1.625</v>
      </c>
      <c r="K5" s="39"/>
      <c r="L5" s="38"/>
      <c r="M5" s="37"/>
      <c r="N5" s="38"/>
      <c r="O5" s="37"/>
      <c r="P5" s="38"/>
      <c r="Q5" s="37"/>
      <c r="R5" s="37"/>
    </row>
    <row r="6" spans="1:39">
      <c r="A6" s="2" t="s">
        <v>10</v>
      </c>
      <c r="B6" s="2">
        <v>7</v>
      </c>
      <c r="C6" s="2">
        <v>4</v>
      </c>
      <c r="D6" s="2">
        <v>18</v>
      </c>
      <c r="E6" s="2">
        <v>22</v>
      </c>
      <c r="F6" s="2">
        <f t="shared" si="0"/>
        <v>15</v>
      </c>
      <c r="G6" s="2">
        <f t="shared" si="0"/>
        <v>11</v>
      </c>
      <c r="H6" s="26">
        <f>F6/C6</f>
        <v>3.75</v>
      </c>
      <c r="K6" t="s">
        <v>7</v>
      </c>
      <c r="M6" t="s">
        <v>8</v>
      </c>
      <c r="O6" t="s">
        <v>9</v>
      </c>
      <c r="Q6" t="s">
        <v>10</v>
      </c>
      <c r="R6" t="s">
        <v>11</v>
      </c>
    </row>
    <row r="7" spans="1:39">
      <c r="A7" s="3" t="s">
        <v>11</v>
      </c>
      <c r="B7" s="3">
        <v>8</v>
      </c>
      <c r="C7" s="3">
        <v>5</v>
      </c>
      <c r="D7" s="3">
        <v>22</v>
      </c>
      <c r="E7" s="3">
        <v>27</v>
      </c>
      <c r="F7" s="3">
        <f t="shared" si="0"/>
        <v>19</v>
      </c>
      <c r="G7" s="3">
        <f t="shared" si="0"/>
        <v>14</v>
      </c>
      <c r="H7" s="27">
        <f>F7/C7</f>
        <v>3.8</v>
      </c>
    </row>
    <row r="8" spans="1:39">
      <c r="A8" s="2"/>
      <c r="B8" s="2"/>
      <c r="C8" s="91">
        <f>AVERAGE(C3:C7)</f>
        <v>5.2</v>
      </c>
      <c r="D8" s="91"/>
      <c r="E8" s="91"/>
      <c r="F8" s="91">
        <f>AVERAGE(F3:F7)</f>
        <v>11.4</v>
      </c>
      <c r="G8" s="91">
        <f>AVERAGE(G3:G7)</f>
        <v>6.2</v>
      </c>
      <c r="H8" s="105">
        <f>AVERAGE(H3:H7)</f>
        <v>2.2683333333333335</v>
      </c>
    </row>
    <row r="10" spans="1:39">
      <c r="A10" s="121" t="s">
        <v>25</v>
      </c>
      <c r="B10" s="121"/>
      <c r="C10" s="121"/>
      <c r="O10" t="s">
        <v>7</v>
      </c>
      <c r="AD10" t="s">
        <v>8</v>
      </c>
      <c r="AE10" t="s">
        <v>10</v>
      </c>
      <c r="AI10" t="s">
        <v>11</v>
      </c>
      <c r="AK10" t="s">
        <v>9</v>
      </c>
    </row>
    <row r="11" spans="1:39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24</v>
      </c>
      <c r="H11" s="1" t="s">
        <v>23</v>
      </c>
    </row>
    <row r="12" spans="1:39">
      <c r="A12" s="2" t="s">
        <v>7</v>
      </c>
      <c r="B12" s="2">
        <v>1</v>
      </c>
      <c r="C12" s="2">
        <v>3</v>
      </c>
      <c r="D12" s="2">
        <v>1</v>
      </c>
      <c r="E12" s="2">
        <v>5</v>
      </c>
      <c r="F12" s="2">
        <f>E12-B12</f>
        <v>4</v>
      </c>
      <c r="G12" s="2">
        <f>F12-C12</f>
        <v>1</v>
      </c>
      <c r="H12" s="26">
        <f>F12/C12</f>
        <v>1.3333333333333333</v>
      </c>
      <c r="J12" s="5"/>
      <c r="K12" s="116" t="s">
        <v>7</v>
      </c>
      <c r="L12" s="116"/>
      <c r="M12" s="7" t="s">
        <v>8</v>
      </c>
      <c r="N12" s="4" t="s">
        <v>7</v>
      </c>
      <c r="O12" s="7" t="s">
        <v>8</v>
      </c>
      <c r="P12" s="10" t="s">
        <v>9</v>
      </c>
      <c r="Q12" s="7" t="s">
        <v>8</v>
      </c>
      <c r="R12" s="8" t="s">
        <v>10</v>
      </c>
      <c r="S12" s="10" t="s">
        <v>9</v>
      </c>
      <c r="T12" s="9" t="s">
        <v>11</v>
      </c>
      <c r="U12" s="7" t="s">
        <v>8</v>
      </c>
      <c r="V12" s="8" t="s">
        <v>10</v>
      </c>
      <c r="W12" s="10" t="s">
        <v>9</v>
      </c>
      <c r="X12" s="9" t="s">
        <v>11</v>
      </c>
      <c r="Y12" s="7" t="s">
        <v>8</v>
      </c>
      <c r="Z12" s="8" t="s">
        <v>10</v>
      </c>
      <c r="AA12" s="10" t="s">
        <v>9</v>
      </c>
      <c r="AB12" s="9" t="s">
        <v>11</v>
      </c>
      <c r="AC12" s="7" t="s">
        <v>8</v>
      </c>
      <c r="AD12" s="8" t="s">
        <v>10</v>
      </c>
      <c r="AE12" s="10" t="s">
        <v>9</v>
      </c>
      <c r="AF12" s="9" t="s">
        <v>11</v>
      </c>
      <c r="AG12" s="10" t="s">
        <v>9</v>
      </c>
      <c r="AH12" s="9" t="s">
        <v>11</v>
      </c>
      <c r="AI12" s="10" t="s">
        <v>9</v>
      </c>
      <c r="AJ12" s="10" t="s">
        <v>9</v>
      </c>
    </row>
    <row r="13" spans="1:39">
      <c r="A13" s="2" t="s">
        <v>8</v>
      </c>
      <c r="B13" s="2">
        <v>3</v>
      </c>
      <c r="C13" s="2">
        <v>6</v>
      </c>
      <c r="D13" s="2">
        <v>3</v>
      </c>
      <c r="E13" s="2">
        <v>20</v>
      </c>
      <c r="F13" s="2">
        <f t="shared" ref="F13:F16" si="1">E13-B13</f>
        <v>17</v>
      </c>
      <c r="G13" s="2">
        <f t="shared" ref="G13:G16" si="2">F13-C13</f>
        <v>11</v>
      </c>
      <c r="H13" s="26">
        <f t="shared" ref="H13:H16" si="3">F13/C13</f>
        <v>2.8333333333333335</v>
      </c>
      <c r="J13" s="30">
        <v>0</v>
      </c>
      <c r="K13" s="30">
        <v>1</v>
      </c>
      <c r="L13" s="30">
        <v>2</v>
      </c>
      <c r="M13" s="30">
        <v>3</v>
      </c>
      <c r="N13" s="30">
        <v>4</v>
      </c>
      <c r="O13" s="30">
        <v>5</v>
      </c>
      <c r="P13" s="30">
        <v>6</v>
      </c>
      <c r="Q13" s="30">
        <v>7</v>
      </c>
      <c r="R13" s="30">
        <v>8</v>
      </c>
      <c r="S13" s="30">
        <v>9</v>
      </c>
      <c r="T13" s="30">
        <v>10</v>
      </c>
      <c r="U13" s="30">
        <v>11</v>
      </c>
      <c r="V13" s="30">
        <v>12</v>
      </c>
      <c r="W13" s="30">
        <v>13</v>
      </c>
      <c r="X13" s="30">
        <v>14</v>
      </c>
      <c r="Y13" s="30">
        <v>15</v>
      </c>
      <c r="Z13" s="30">
        <v>16</v>
      </c>
      <c r="AA13" s="30">
        <v>17</v>
      </c>
      <c r="AB13" s="30">
        <v>18</v>
      </c>
      <c r="AC13" s="30">
        <v>19</v>
      </c>
      <c r="AD13" s="30">
        <v>20</v>
      </c>
      <c r="AE13" s="30">
        <v>21</v>
      </c>
      <c r="AF13" s="30">
        <v>22</v>
      </c>
      <c r="AG13" s="30">
        <v>23</v>
      </c>
      <c r="AH13" s="30">
        <v>24</v>
      </c>
      <c r="AI13" s="30">
        <v>25</v>
      </c>
      <c r="AJ13" s="30">
        <v>26</v>
      </c>
      <c r="AK13" s="30">
        <v>27</v>
      </c>
      <c r="AM13" t="s">
        <v>64</v>
      </c>
    </row>
    <row r="14" spans="1:39">
      <c r="A14" s="2" t="s">
        <v>9</v>
      </c>
      <c r="B14" s="2">
        <v>5</v>
      </c>
      <c r="C14" s="2">
        <v>8</v>
      </c>
      <c r="D14" s="2">
        <v>6</v>
      </c>
      <c r="E14" s="2">
        <v>27</v>
      </c>
      <c r="F14" s="2">
        <f t="shared" si="1"/>
        <v>22</v>
      </c>
      <c r="G14" s="2">
        <f t="shared" si="2"/>
        <v>14</v>
      </c>
      <c r="H14" s="26">
        <f t="shared" si="3"/>
        <v>2.75</v>
      </c>
      <c r="K14" s="39"/>
      <c r="L14" s="38"/>
      <c r="M14" s="37"/>
      <c r="N14" s="38"/>
      <c r="O14" s="37"/>
      <c r="P14" s="38"/>
      <c r="Q14" s="37"/>
      <c r="R14" s="37"/>
    </row>
    <row r="15" spans="1:39">
      <c r="A15" s="2" t="s">
        <v>10</v>
      </c>
      <c r="B15" s="2">
        <v>7</v>
      </c>
      <c r="C15" s="2">
        <v>4</v>
      </c>
      <c r="D15" s="2">
        <v>8</v>
      </c>
      <c r="E15" s="2">
        <v>21</v>
      </c>
      <c r="F15" s="2">
        <f t="shared" si="1"/>
        <v>14</v>
      </c>
      <c r="G15" s="2">
        <f t="shared" si="2"/>
        <v>10</v>
      </c>
      <c r="H15" s="26">
        <f t="shared" si="3"/>
        <v>3.5</v>
      </c>
      <c r="K15" t="s">
        <v>7</v>
      </c>
      <c r="M15" t="s">
        <v>8</v>
      </c>
      <c r="O15" t="s">
        <v>9</v>
      </c>
      <c r="Q15" t="s">
        <v>10</v>
      </c>
      <c r="R15" t="s">
        <v>11</v>
      </c>
    </row>
    <row r="16" spans="1:39">
      <c r="A16" s="3" t="s">
        <v>11</v>
      </c>
      <c r="B16" s="3">
        <v>8</v>
      </c>
      <c r="C16" s="3">
        <v>5</v>
      </c>
      <c r="D16" s="3">
        <v>10</v>
      </c>
      <c r="E16" s="3">
        <v>25</v>
      </c>
      <c r="F16" s="3">
        <f t="shared" si="1"/>
        <v>17</v>
      </c>
      <c r="G16" s="3">
        <f t="shared" si="2"/>
        <v>12</v>
      </c>
      <c r="H16" s="27">
        <f t="shared" si="3"/>
        <v>3.4</v>
      </c>
      <c r="J16" s="56"/>
      <c r="K16" s="56"/>
      <c r="L16" s="56"/>
      <c r="M16" s="56" t="s">
        <v>7</v>
      </c>
      <c r="N16" s="56" t="s">
        <v>8</v>
      </c>
      <c r="O16" s="56" t="s">
        <v>9</v>
      </c>
      <c r="P16" s="56" t="s">
        <v>8</v>
      </c>
      <c r="Q16" s="56" t="s">
        <v>10</v>
      </c>
      <c r="R16" s="56" t="s">
        <v>9</v>
      </c>
      <c r="S16" s="56" t="s">
        <v>11</v>
      </c>
      <c r="T16" s="56" t="s">
        <v>8</v>
      </c>
      <c r="U16" s="56" t="s">
        <v>10</v>
      </c>
      <c r="V16" s="56" t="s">
        <v>9</v>
      </c>
      <c r="W16" s="56" t="s">
        <v>11</v>
      </c>
      <c r="X16" s="56" t="s">
        <v>8</v>
      </c>
      <c r="Y16" s="56" t="s">
        <v>10</v>
      </c>
      <c r="Z16" s="56" t="s">
        <v>9</v>
      </c>
      <c r="AA16" s="56" t="s">
        <v>11</v>
      </c>
      <c r="AB16" s="56" t="s">
        <v>8</v>
      </c>
      <c r="AC16" s="56" t="s">
        <v>10</v>
      </c>
      <c r="AD16" s="56" t="s">
        <v>9</v>
      </c>
      <c r="AE16" s="56" t="s">
        <v>11</v>
      </c>
      <c r="AF16" s="56" t="s">
        <v>9</v>
      </c>
      <c r="AG16" s="56" t="s">
        <v>11</v>
      </c>
      <c r="AH16" s="56" t="s">
        <v>9</v>
      </c>
      <c r="AI16" s="56"/>
      <c r="AJ16" s="56"/>
      <c r="AK16" s="56"/>
      <c r="AL16" s="46"/>
    </row>
    <row r="17" spans="1:39">
      <c r="A17" s="2"/>
      <c r="B17" s="2"/>
      <c r="C17" s="91">
        <f>AVERAGE(C12:C16)</f>
        <v>5.2</v>
      </c>
      <c r="D17" s="91"/>
      <c r="E17" s="91"/>
      <c r="F17" s="91">
        <f>AVERAGE(F12:F16)</f>
        <v>14.8</v>
      </c>
      <c r="G17" s="105">
        <f>AVERAGE(G12:G16)</f>
        <v>9.6</v>
      </c>
      <c r="H17" s="105">
        <f>AVERAGE(H12:H16)</f>
        <v>2.7633333333333336</v>
      </c>
      <c r="J17" s="57"/>
      <c r="K17" s="56"/>
      <c r="L17" s="56"/>
      <c r="M17" s="57"/>
      <c r="N17" s="56"/>
      <c r="O17" s="56"/>
      <c r="P17" s="56"/>
      <c r="Q17" s="56" t="s">
        <v>9</v>
      </c>
      <c r="R17" s="56" t="s">
        <v>11</v>
      </c>
      <c r="S17" s="56" t="s">
        <v>8</v>
      </c>
      <c r="T17" s="56" t="s">
        <v>10</v>
      </c>
      <c r="U17" s="56" t="s">
        <v>9</v>
      </c>
      <c r="V17" s="56" t="s">
        <v>11</v>
      </c>
      <c r="W17" s="56" t="s">
        <v>8</v>
      </c>
      <c r="X17" s="56" t="s">
        <v>10</v>
      </c>
      <c r="Y17" s="56" t="s">
        <v>9</v>
      </c>
      <c r="Z17" s="56" t="s">
        <v>11</v>
      </c>
      <c r="AA17" s="56" t="s">
        <v>8</v>
      </c>
      <c r="AB17" s="56" t="s">
        <v>10</v>
      </c>
      <c r="AC17" s="56" t="s">
        <v>9</v>
      </c>
      <c r="AD17" s="56" t="s">
        <v>11</v>
      </c>
      <c r="AE17" s="56"/>
      <c r="AF17" s="56"/>
      <c r="AG17" s="56"/>
      <c r="AH17" s="56"/>
      <c r="AI17" s="56"/>
      <c r="AJ17" s="56"/>
      <c r="AK17" s="56"/>
      <c r="AL17" s="46"/>
    </row>
    <row r="18" spans="1:39">
      <c r="A18" s="2"/>
      <c r="B18" s="2"/>
      <c r="C18" s="2"/>
      <c r="D18" s="2"/>
      <c r="E18" s="2"/>
      <c r="F18" s="2"/>
      <c r="G18" s="26"/>
      <c r="H18" s="26"/>
      <c r="J18" s="57"/>
      <c r="K18" s="56"/>
      <c r="L18" s="56"/>
      <c r="M18" s="57"/>
      <c r="N18" s="56"/>
      <c r="O18" s="56"/>
      <c r="P18" s="56"/>
      <c r="Q18" s="56"/>
      <c r="R18" s="56" t="s">
        <v>8</v>
      </c>
      <c r="S18" s="56" t="s">
        <v>10</v>
      </c>
      <c r="T18" s="56" t="s">
        <v>9</v>
      </c>
      <c r="U18" s="56" t="s">
        <v>11</v>
      </c>
      <c r="V18" s="56" t="s">
        <v>8</v>
      </c>
      <c r="W18" s="56" t="s">
        <v>10</v>
      </c>
      <c r="X18" s="56" t="s">
        <v>9</v>
      </c>
      <c r="Y18" s="56" t="s">
        <v>11</v>
      </c>
      <c r="Z18" s="56" t="s">
        <v>8</v>
      </c>
      <c r="AA18" s="56" t="s">
        <v>10</v>
      </c>
      <c r="AB18" s="56" t="s">
        <v>9</v>
      </c>
      <c r="AC18" s="56" t="s">
        <v>11</v>
      </c>
      <c r="AD18" s="56"/>
      <c r="AE18" s="56"/>
      <c r="AF18" s="56"/>
      <c r="AH18" s="56"/>
      <c r="AI18" s="56"/>
      <c r="AJ18" s="56"/>
      <c r="AK18" s="56"/>
      <c r="AL18" s="46"/>
    </row>
    <row r="19" spans="1:39" ht="17.25">
      <c r="J19" s="53"/>
      <c r="K19" s="46"/>
      <c r="L19" s="62" t="s">
        <v>42</v>
      </c>
      <c r="M19" s="5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9">
      <c r="A20" s="121" t="s">
        <v>26</v>
      </c>
      <c r="B20" s="121"/>
      <c r="C20" s="121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9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24</v>
      </c>
      <c r="H21" s="1" t="s">
        <v>23</v>
      </c>
      <c r="N21" t="s">
        <v>7</v>
      </c>
      <c r="Z21" s="67" t="s">
        <v>8</v>
      </c>
      <c r="AG21" t="s">
        <v>10</v>
      </c>
      <c r="AI21" t="s">
        <v>11</v>
      </c>
      <c r="AK21" t="s">
        <v>9</v>
      </c>
    </row>
    <row r="22" spans="1:39">
      <c r="A22" s="2" t="s">
        <v>7</v>
      </c>
      <c r="B22" s="2">
        <v>1</v>
      </c>
      <c r="C22" s="2">
        <v>3</v>
      </c>
      <c r="D22" s="2">
        <v>1</v>
      </c>
      <c r="E22" s="2">
        <v>4</v>
      </c>
      <c r="F22" s="2">
        <f>E22-B22</f>
        <v>3</v>
      </c>
      <c r="G22" s="2">
        <f>F22-C22</f>
        <v>0</v>
      </c>
      <c r="H22" s="26">
        <f>F22/C22</f>
        <v>1</v>
      </c>
    </row>
    <row r="23" spans="1:39" ht="17.25" customHeight="1">
      <c r="A23" s="2" t="s">
        <v>8</v>
      </c>
      <c r="B23" s="2">
        <v>3</v>
      </c>
      <c r="C23" s="2">
        <v>6</v>
      </c>
      <c r="D23" s="2">
        <v>4</v>
      </c>
      <c r="E23" s="2">
        <v>16</v>
      </c>
      <c r="F23" s="2">
        <f t="shared" ref="F23:F26" si="4">E23-B23</f>
        <v>13</v>
      </c>
      <c r="G23" s="2">
        <f t="shared" ref="G23:G26" si="5">F23-C23</f>
        <v>7</v>
      </c>
      <c r="H23" s="26">
        <f t="shared" ref="H23:H26" si="6">F23/C23</f>
        <v>2.1666666666666665</v>
      </c>
      <c r="J23" s="5"/>
      <c r="K23" s="116" t="s">
        <v>7</v>
      </c>
      <c r="L23" s="116"/>
      <c r="M23" s="116"/>
      <c r="N23" s="117" t="s">
        <v>8</v>
      </c>
      <c r="O23" s="117"/>
      <c r="P23" s="117"/>
      <c r="Q23" s="120" t="s">
        <v>9</v>
      </c>
      <c r="R23" s="120"/>
      <c r="S23" s="120"/>
      <c r="T23" s="118" t="s">
        <v>10</v>
      </c>
      <c r="U23" s="118"/>
      <c r="V23" s="118"/>
      <c r="W23" s="117" t="s">
        <v>8</v>
      </c>
      <c r="X23" s="117"/>
      <c r="Y23" s="117"/>
      <c r="Z23" s="119" t="s">
        <v>11</v>
      </c>
      <c r="AA23" s="119"/>
      <c r="AB23" s="119"/>
      <c r="AC23" s="120" t="s">
        <v>9</v>
      </c>
      <c r="AD23" s="120"/>
      <c r="AE23" s="120"/>
      <c r="AF23" s="8" t="s">
        <v>10</v>
      </c>
      <c r="AG23" s="119" t="s">
        <v>11</v>
      </c>
      <c r="AH23" s="119"/>
      <c r="AI23" s="120" t="s">
        <v>9</v>
      </c>
      <c r="AJ23" s="120"/>
    </row>
    <row r="24" spans="1:39">
      <c r="A24" s="2" t="s">
        <v>9</v>
      </c>
      <c r="B24" s="2">
        <v>5</v>
      </c>
      <c r="C24" s="2">
        <v>8</v>
      </c>
      <c r="D24" s="2">
        <v>7</v>
      </c>
      <c r="E24" s="2">
        <v>27</v>
      </c>
      <c r="F24" s="2">
        <f t="shared" si="4"/>
        <v>22</v>
      </c>
      <c r="G24" s="2">
        <f t="shared" si="5"/>
        <v>14</v>
      </c>
      <c r="H24" s="26">
        <f t="shared" si="6"/>
        <v>2.75</v>
      </c>
      <c r="J24" s="32">
        <v>0</v>
      </c>
      <c r="K24" s="32">
        <v>1</v>
      </c>
      <c r="L24" s="32">
        <v>2</v>
      </c>
      <c r="M24" s="32">
        <v>3</v>
      </c>
      <c r="N24" s="32">
        <v>4</v>
      </c>
      <c r="O24" s="32">
        <v>5</v>
      </c>
      <c r="P24" s="32">
        <v>6</v>
      </c>
      <c r="Q24" s="32">
        <v>7</v>
      </c>
      <c r="R24" s="32">
        <v>8</v>
      </c>
      <c r="S24" s="32">
        <v>9</v>
      </c>
      <c r="T24" s="32">
        <v>10</v>
      </c>
      <c r="U24" s="32">
        <v>11</v>
      </c>
      <c r="V24" s="32">
        <v>12</v>
      </c>
      <c r="W24" s="32">
        <v>13</v>
      </c>
      <c r="X24" s="32">
        <v>14</v>
      </c>
      <c r="Y24" s="32">
        <v>15</v>
      </c>
      <c r="Z24" s="32">
        <v>16</v>
      </c>
      <c r="AA24" s="32">
        <v>17</v>
      </c>
      <c r="AB24" s="32">
        <v>18</v>
      </c>
      <c r="AC24" s="32">
        <v>19</v>
      </c>
      <c r="AD24" s="32">
        <v>20</v>
      </c>
      <c r="AE24" s="32">
        <v>21</v>
      </c>
      <c r="AF24" s="32">
        <v>22</v>
      </c>
      <c r="AG24" s="32">
        <v>23</v>
      </c>
      <c r="AH24" s="32">
        <v>24</v>
      </c>
      <c r="AI24" s="32">
        <v>25</v>
      </c>
      <c r="AJ24" s="32">
        <v>26</v>
      </c>
      <c r="AK24" s="32">
        <v>27</v>
      </c>
      <c r="AL24" s="96"/>
      <c r="AM24" s="96" t="s">
        <v>64</v>
      </c>
    </row>
    <row r="25" spans="1:39">
      <c r="A25" s="2" t="s">
        <v>10</v>
      </c>
      <c r="B25" s="2">
        <v>7</v>
      </c>
      <c r="C25" s="2">
        <v>4</v>
      </c>
      <c r="D25" s="2">
        <v>10</v>
      </c>
      <c r="E25" s="2">
        <v>23</v>
      </c>
      <c r="F25" s="2">
        <f t="shared" si="4"/>
        <v>16</v>
      </c>
      <c r="G25" s="2">
        <f t="shared" si="5"/>
        <v>12</v>
      </c>
      <c r="H25" s="26">
        <f t="shared" si="6"/>
        <v>4</v>
      </c>
      <c r="K25" s="39"/>
      <c r="L25" s="38"/>
      <c r="M25" s="37"/>
      <c r="N25" s="38"/>
      <c r="O25" s="37"/>
      <c r="P25" s="38"/>
      <c r="Q25" s="37"/>
      <c r="R25" s="37"/>
      <c r="S25" s="37"/>
    </row>
    <row r="26" spans="1:39">
      <c r="A26" s="3" t="s">
        <v>11</v>
      </c>
      <c r="B26" s="3">
        <v>8</v>
      </c>
      <c r="C26" s="3">
        <v>5</v>
      </c>
      <c r="D26" s="3">
        <v>16</v>
      </c>
      <c r="E26" s="3">
        <v>25</v>
      </c>
      <c r="F26" s="3">
        <f t="shared" si="4"/>
        <v>17</v>
      </c>
      <c r="G26" s="3">
        <f t="shared" si="5"/>
        <v>12</v>
      </c>
      <c r="H26" s="27">
        <f t="shared" si="6"/>
        <v>3.4</v>
      </c>
      <c r="K26" t="s">
        <v>7</v>
      </c>
      <c r="M26" t="s">
        <v>8</v>
      </c>
      <c r="O26" t="s">
        <v>9</v>
      </c>
      <c r="Q26" t="s">
        <v>10</v>
      </c>
      <c r="R26" t="s">
        <v>11</v>
      </c>
    </row>
    <row r="27" spans="1:39">
      <c r="A27" s="2"/>
      <c r="B27" s="2"/>
      <c r="C27" s="2">
        <f>AVERAGE(C22:C26)</f>
        <v>5.2</v>
      </c>
      <c r="D27" s="2"/>
      <c r="E27" s="2"/>
      <c r="F27" s="2">
        <f>AVERAGE(F22:F26)</f>
        <v>14.2</v>
      </c>
      <c r="G27" s="26">
        <f>AVERAGE(G22:G26)</f>
        <v>9</v>
      </c>
      <c r="H27" s="26">
        <f>AVERAGE(H22:H26)</f>
        <v>2.6633333333333331</v>
      </c>
      <c r="J27" s="58"/>
      <c r="K27" s="56"/>
      <c r="L27" s="56"/>
      <c r="M27" s="56" t="s">
        <v>8</v>
      </c>
      <c r="N27" s="56"/>
      <c r="O27" s="56" t="s">
        <v>9</v>
      </c>
      <c r="P27" s="56" t="s">
        <v>9</v>
      </c>
      <c r="Q27" s="56" t="s">
        <v>10</v>
      </c>
      <c r="R27" s="56" t="s">
        <v>10</v>
      </c>
      <c r="S27" s="56" t="s">
        <v>10</v>
      </c>
      <c r="T27" s="56" t="s">
        <v>8</v>
      </c>
      <c r="U27" s="56" t="s">
        <v>8</v>
      </c>
      <c r="V27" s="56" t="s">
        <v>8</v>
      </c>
      <c r="W27" s="56" t="s">
        <v>11</v>
      </c>
      <c r="X27" s="56" t="s">
        <v>11</v>
      </c>
      <c r="Y27" s="56" t="s">
        <v>11</v>
      </c>
      <c r="Z27" s="56" t="s">
        <v>9</v>
      </c>
      <c r="AA27" s="56" t="s">
        <v>9</v>
      </c>
      <c r="AB27" s="56" t="s">
        <v>9</v>
      </c>
      <c r="AC27" s="56" t="s">
        <v>10</v>
      </c>
      <c r="AD27" s="56" t="s">
        <v>10</v>
      </c>
      <c r="AE27" s="56" t="s">
        <v>10</v>
      </c>
      <c r="AF27" s="56" t="s">
        <v>11</v>
      </c>
      <c r="AG27" s="56" t="s">
        <v>9</v>
      </c>
      <c r="AH27" s="56" t="s">
        <v>9</v>
      </c>
      <c r="AI27" s="56"/>
      <c r="AJ27" s="56"/>
      <c r="AK27" s="46"/>
      <c r="AL27" s="46"/>
    </row>
    <row r="28" spans="1:39">
      <c r="A28" s="2"/>
      <c r="B28" s="2"/>
      <c r="C28" s="2"/>
      <c r="D28" s="2"/>
      <c r="E28" s="2"/>
      <c r="F28" s="2"/>
      <c r="G28" s="26"/>
      <c r="H28" s="26"/>
      <c r="J28" s="58"/>
      <c r="K28" s="56"/>
      <c r="L28" s="56"/>
      <c r="M28" s="56"/>
      <c r="N28" s="56"/>
      <c r="O28" s="42"/>
      <c r="P28" s="42"/>
      <c r="Q28" s="56" t="s">
        <v>8</v>
      </c>
      <c r="R28" s="56" t="s">
        <v>8</v>
      </c>
      <c r="S28" s="56" t="s">
        <v>8</v>
      </c>
      <c r="T28" s="56" t="s">
        <v>11</v>
      </c>
      <c r="U28" s="56" t="s">
        <v>11</v>
      </c>
      <c r="V28" s="56" t="s">
        <v>11</v>
      </c>
      <c r="W28" s="56" t="s">
        <v>9</v>
      </c>
      <c r="X28" s="56" t="s">
        <v>9</v>
      </c>
      <c r="Y28" s="56" t="s">
        <v>9</v>
      </c>
      <c r="Z28" s="56" t="s">
        <v>10</v>
      </c>
      <c r="AA28" s="56" t="s">
        <v>10</v>
      </c>
      <c r="AB28" s="56" t="s">
        <v>10</v>
      </c>
      <c r="AC28" s="56" t="s">
        <v>11</v>
      </c>
      <c r="AD28" s="56" t="s">
        <v>11</v>
      </c>
      <c r="AE28" s="56" t="s">
        <v>11</v>
      </c>
      <c r="AF28" s="56" t="s">
        <v>9</v>
      </c>
      <c r="AG28" s="56"/>
      <c r="AH28" s="56"/>
      <c r="AI28" s="56"/>
      <c r="AJ28" s="56"/>
      <c r="AK28" s="46"/>
      <c r="AL28" s="46"/>
    </row>
    <row r="29" spans="1:39">
      <c r="A29" s="2"/>
      <c r="B29" s="2"/>
      <c r="C29" s="2"/>
      <c r="D29" s="2"/>
      <c r="E29" s="2"/>
      <c r="F29" s="2"/>
      <c r="G29" s="26"/>
      <c r="H29" s="26"/>
      <c r="J29" s="58"/>
      <c r="K29" s="56"/>
      <c r="L29" s="56"/>
      <c r="M29" s="56"/>
      <c r="N29" s="56"/>
      <c r="O29" s="56"/>
      <c r="P29" s="56"/>
      <c r="Q29" s="56"/>
      <c r="R29" s="56" t="s">
        <v>11</v>
      </c>
      <c r="S29" s="56" t="s">
        <v>11</v>
      </c>
      <c r="T29" s="56" t="s">
        <v>9</v>
      </c>
      <c r="U29" s="56" t="s">
        <v>9</v>
      </c>
      <c r="V29" s="56" t="s">
        <v>9</v>
      </c>
      <c r="W29" s="56" t="s">
        <v>10</v>
      </c>
      <c r="X29" s="56" t="s">
        <v>10</v>
      </c>
      <c r="Y29" s="56" t="s">
        <v>10</v>
      </c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46"/>
      <c r="AL29" s="46"/>
    </row>
    <row r="30" spans="1:39"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</row>
    <row r="31" spans="1:39">
      <c r="A31" s="121" t="s">
        <v>27</v>
      </c>
      <c r="B31" s="121"/>
      <c r="C31" s="121"/>
      <c r="D31" s="121"/>
      <c r="N31" t="s">
        <v>7</v>
      </c>
      <c r="T31" s="67" t="s">
        <v>8</v>
      </c>
      <c r="U31" s="68"/>
      <c r="V31" s="68"/>
      <c r="W31" s="68"/>
      <c r="X31" s="67" t="s">
        <v>10</v>
      </c>
      <c r="AC31" t="s">
        <v>11</v>
      </c>
      <c r="AK31" t="s">
        <v>9</v>
      </c>
    </row>
    <row r="32" spans="1:39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24</v>
      </c>
      <c r="H32" s="1" t="s">
        <v>23</v>
      </c>
      <c r="N32" s="39"/>
    </row>
    <row r="33" spans="1:39">
      <c r="A33" s="2" t="s">
        <v>7</v>
      </c>
      <c r="B33" s="2">
        <v>1</v>
      </c>
      <c r="C33" s="2">
        <v>3</v>
      </c>
      <c r="D33" s="2">
        <v>1</v>
      </c>
      <c r="E33" s="2">
        <v>4</v>
      </c>
      <c r="F33" s="2">
        <f>E33-B33</f>
        <v>3</v>
      </c>
      <c r="G33" s="2">
        <f>F33-C33</f>
        <v>0</v>
      </c>
      <c r="H33" s="26">
        <f>F33/C33</f>
        <v>1</v>
      </c>
      <c r="J33" s="5"/>
      <c r="K33" s="116" t="s">
        <v>7</v>
      </c>
      <c r="L33" s="116"/>
      <c r="M33" s="116"/>
      <c r="N33" s="117" t="s">
        <v>8</v>
      </c>
      <c r="O33" s="117"/>
      <c r="P33" s="117"/>
      <c r="Q33" s="117"/>
      <c r="R33" s="117"/>
      <c r="S33" s="117"/>
      <c r="T33" s="118" t="s">
        <v>10</v>
      </c>
      <c r="U33" s="118"/>
      <c r="V33" s="118"/>
      <c r="W33" s="118"/>
      <c r="X33" s="119" t="s">
        <v>11</v>
      </c>
      <c r="Y33" s="119"/>
      <c r="Z33" s="119"/>
      <c r="AA33" s="119"/>
      <c r="AB33" s="119"/>
      <c r="AC33" s="120" t="s">
        <v>9</v>
      </c>
      <c r="AD33" s="120"/>
      <c r="AE33" s="120"/>
      <c r="AF33" s="120"/>
      <c r="AG33" s="120"/>
      <c r="AH33" s="120"/>
      <c r="AI33" s="120"/>
      <c r="AJ33" s="120"/>
    </row>
    <row r="34" spans="1:39">
      <c r="A34" s="2" t="s">
        <v>8</v>
      </c>
      <c r="B34" s="2">
        <v>3</v>
      </c>
      <c r="C34" s="2">
        <v>6</v>
      </c>
      <c r="D34" s="2">
        <v>4</v>
      </c>
      <c r="E34" s="2">
        <v>10</v>
      </c>
      <c r="F34" s="2">
        <f t="shared" ref="F34:F37" si="7">E34-B34</f>
        <v>7</v>
      </c>
      <c r="G34" s="2">
        <f t="shared" ref="G34:G37" si="8">F34-C34</f>
        <v>1</v>
      </c>
      <c r="H34" s="26">
        <f t="shared" ref="H34:H37" si="9">F34/C34</f>
        <v>1.1666666666666667</v>
      </c>
      <c r="J34" s="32">
        <v>0</v>
      </c>
      <c r="K34" s="32">
        <v>1</v>
      </c>
      <c r="L34" s="32">
        <v>2</v>
      </c>
      <c r="M34" s="32">
        <v>3</v>
      </c>
      <c r="N34" s="32">
        <v>4</v>
      </c>
      <c r="O34" s="32">
        <v>5</v>
      </c>
      <c r="P34" s="32">
        <v>6</v>
      </c>
      <c r="Q34" s="32">
        <v>7</v>
      </c>
      <c r="R34" s="32">
        <v>8</v>
      </c>
      <c r="S34" s="32">
        <v>9</v>
      </c>
      <c r="T34" s="32">
        <v>10</v>
      </c>
      <c r="U34" s="32">
        <v>11</v>
      </c>
      <c r="V34" s="32">
        <v>12</v>
      </c>
      <c r="W34" s="32">
        <v>13</v>
      </c>
      <c r="X34" s="32">
        <v>14</v>
      </c>
      <c r="Y34" s="32">
        <v>15</v>
      </c>
      <c r="Z34" s="32">
        <v>16</v>
      </c>
      <c r="AA34" s="32">
        <v>17</v>
      </c>
      <c r="AB34" s="32">
        <v>18</v>
      </c>
      <c r="AC34" s="32">
        <v>19</v>
      </c>
      <c r="AD34" s="32">
        <v>20</v>
      </c>
      <c r="AE34" s="32">
        <v>21</v>
      </c>
      <c r="AF34" s="32">
        <v>22</v>
      </c>
      <c r="AG34" s="32">
        <v>23</v>
      </c>
      <c r="AH34" s="32">
        <v>24</v>
      </c>
      <c r="AI34" s="32">
        <v>25</v>
      </c>
      <c r="AJ34" s="32">
        <v>26</v>
      </c>
      <c r="AK34" s="32">
        <v>27</v>
      </c>
      <c r="AL34" s="96"/>
      <c r="AM34" s="96" t="s">
        <v>64</v>
      </c>
    </row>
    <row r="35" spans="1:39">
      <c r="A35" s="2" t="s">
        <v>9</v>
      </c>
      <c r="B35" s="2">
        <v>5</v>
      </c>
      <c r="C35" s="2">
        <v>8</v>
      </c>
      <c r="D35" s="2">
        <v>19</v>
      </c>
      <c r="E35" s="2">
        <v>27</v>
      </c>
      <c r="F35" s="2">
        <f t="shared" si="7"/>
        <v>22</v>
      </c>
      <c r="G35" s="2">
        <f t="shared" si="8"/>
        <v>14</v>
      </c>
      <c r="H35" s="26">
        <f t="shared" si="9"/>
        <v>2.75</v>
      </c>
      <c r="K35" s="39"/>
      <c r="L35" s="38"/>
      <c r="M35" s="37"/>
      <c r="N35" s="38"/>
      <c r="O35" s="37"/>
      <c r="P35" s="38"/>
      <c r="Q35" s="37"/>
      <c r="R35" s="37"/>
    </row>
    <row r="36" spans="1:39">
      <c r="A36" s="2" t="s">
        <v>10</v>
      </c>
      <c r="B36" s="2">
        <v>7</v>
      </c>
      <c r="C36" s="2">
        <v>4</v>
      </c>
      <c r="D36" s="2">
        <v>10</v>
      </c>
      <c r="E36" s="2">
        <v>14</v>
      </c>
      <c r="F36" s="2">
        <f t="shared" si="7"/>
        <v>7</v>
      </c>
      <c r="G36" s="2">
        <f t="shared" si="8"/>
        <v>3</v>
      </c>
      <c r="H36" s="26">
        <f t="shared" si="9"/>
        <v>1.75</v>
      </c>
      <c r="K36" s="11" t="s">
        <v>7</v>
      </c>
      <c r="M36" t="s">
        <v>8</v>
      </c>
      <c r="O36" t="s">
        <v>9</v>
      </c>
      <c r="Q36" t="s">
        <v>10</v>
      </c>
      <c r="R36" t="s">
        <v>11</v>
      </c>
    </row>
    <row r="37" spans="1:39">
      <c r="A37" s="3" t="s">
        <v>11</v>
      </c>
      <c r="B37" s="3">
        <v>8</v>
      </c>
      <c r="C37" s="3">
        <v>5</v>
      </c>
      <c r="D37" s="3">
        <v>14</v>
      </c>
      <c r="E37" s="3">
        <v>19</v>
      </c>
      <c r="F37" s="3">
        <f t="shared" si="7"/>
        <v>11</v>
      </c>
      <c r="G37" s="3">
        <f t="shared" si="8"/>
        <v>6</v>
      </c>
      <c r="H37" s="27">
        <f t="shared" si="9"/>
        <v>2.2000000000000002</v>
      </c>
    </row>
    <row r="38" spans="1:39">
      <c r="A38" s="2"/>
      <c r="B38" s="2"/>
      <c r="C38" s="34">
        <f>AVERAGE(C33:C37)</f>
        <v>5.2</v>
      </c>
      <c r="D38" s="34"/>
      <c r="E38" s="34"/>
      <c r="F38" s="34">
        <f>AVERAGE(F33:F37)</f>
        <v>10</v>
      </c>
      <c r="G38" s="34">
        <f>AVERAGE(G33:G37)</f>
        <v>4.8</v>
      </c>
      <c r="H38" s="84">
        <f>AVERAGE(H33:H37)</f>
        <v>1.7733333333333334</v>
      </c>
    </row>
    <row r="40" spans="1:39">
      <c r="A40" s="121" t="s">
        <v>40</v>
      </c>
      <c r="B40" s="121"/>
      <c r="C40" s="121"/>
      <c r="D40" s="121"/>
      <c r="N40" t="s">
        <v>7</v>
      </c>
      <c r="Q40" t="s">
        <v>48</v>
      </c>
      <c r="U40" t="s">
        <v>8</v>
      </c>
      <c r="Y40" t="s">
        <v>10</v>
      </c>
      <c r="AD40" t="s">
        <v>11</v>
      </c>
      <c r="AL40" t="s">
        <v>9</v>
      </c>
    </row>
    <row r="41" spans="1:39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24</v>
      </c>
      <c r="H41" s="1" t="s">
        <v>23</v>
      </c>
    </row>
    <row r="42" spans="1:39">
      <c r="A42" s="2" t="s">
        <v>7</v>
      </c>
      <c r="B42" s="2">
        <v>1</v>
      </c>
      <c r="C42" s="2">
        <v>3</v>
      </c>
      <c r="D42" s="2">
        <v>1</v>
      </c>
      <c r="E42" s="2">
        <v>4</v>
      </c>
      <c r="F42" s="2">
        <f>E42-B42</f>
        <v>3</v>
      </c>
      <c r="G42" s="2">
        <f>F42-C42</f>
        <v>0</v>
      </c>
      <c r="H42" s="26">
        <f>F42/C42</f>
        <v>1</v>
      </c>
      <c r="J42" s="5"/>
      <c r="K42" s="116" t="s">
        <v>7</v>
      </c>
      <c r="L42" s="116"/>
      <c r="M42" s="116"/>
      <c r="N42" s="117" t="s">
        <v>8</v>
      </c>
      <c r="O42" s="117"/>
      <c r="P42" s="29" t="s">
        <v>48</v>
      </c>
      <c r="Q42" s="117" t="s">
        <v>8</v>
      </c>
      <c r="R42" s="117"/>
      <c r="S42" s="117"/>
      <c r="T42" s="117"/>
      <c r="U42" s="118" t="s">
        <v>10</v>
      </c>
      <c r="V42" s="118"/>
      <c r="W42" s="118"/>
      <c r="X42" s="118"/>
      <c r="Y42" s="119" t="s">
        <v>11</v>
      </c>
      <c r="Z42" s="119"/>
      <c r="AA42" s="119"/>
      <c r="AB42" s="119"/>
      <c r="AC42" s="119"/>
      <c r="AD42" s="120" t="s">
        <v>9</v>
      </c>
      <c r="AE42" s="120"/>
      <c r="AF42" s="120"/>
      <c r="AG42" s="120"/>
      <c r="AH42" s="120"/>
      <c r="AI42" s="120"/>
      <c r="AJ42" s="120"/>
      <c r="AK42" s="120"/>
    </row>
    <row r="43" spans="1:39">
      <c r="A43" s="2" t="s">
        <v>8</v>
      </c>
      <c r="B43" s="2">
        <v>3</v>
      </c>
      <c r="C43" s="2">
        <v>6</v>
      </c>
      <c r="D43" s="2">
        <v>4</v>
      </c>
      <c r="E43" s="2">
        <v>11</v>
      </c>
      <c r="F43" s="2">
        <f t="shared" ref="F43:F47" si="10">E43-B43</f>
        <v>8</v>
      </c>
      <c r="G43" s="2">
        <f t="shared" ref="G43:G47" si="11">F43-C43</f>
        <v>2</v>
      </c>
      <c r="H43" s="26">
        <f t="shared" ref="H43:H47" si="12">F43/C43</f>
        <v>1.3333333333333333</v>
      </c>
      <c r="J43" s="32">
        <v>0</v>
      </c>
      <c r="K43" s="32">
        <v>1</v>
      </c>
      <c r="L43" s="32">
        <v>2</v>
      </c>
      <c r="M43" s="32">
        <v>3</v>
      </c>
      <c r="N43" s="32">
        <v>4</v>
      </c>
      <c r="O43" s="32">
        <v>5</v>
      </c>
      <c r="P43" s="32">
        <v>6</v>
      </c>
      <c r="Q43" s="32">
        <v>7</v>
      </c>
      <c r="R43" s="32">
        <v>8</v>
      </c>
      <c r="S43" s="32">
        <v>9</v>
      </c>
      <c r="T43" s="32">
        <v>10</v>
      </c>
      <c r="U43" s="32">
        <v>11</v>
      </c>
      <c r="V43" s="32">
        <v>12</v>
      </c>
      <c r="W43" s="32">
        <v>13</v>
      </c>
      <c r="X43" s="32">
        <v>14</v>
      </c>
      <c r="Y43" s="32">
        <v>15</v>
      </c>
      <c r="Z43" s="32">
        <v>16</v>
      </c>
      <c r="AA43" s="32">
        <v>17</v>
      </c>
      <c r="AB43" s="32">
        <v>18</v>
      </c>
      <c r="AC43" s="32">
        <v>19</v>
      </c>
      <c r="AD43" s="32">
        <v>20</v>
      </c>
      <c r="AE43" s="32">
        <v>21</v>
      </c>
      <c r="AF43" s="32">
        <v>22</v>
      </c>
      <c r="AG43" s="32">
        <v>23</v>
      </c>
      <c r="AH43" s="32">
        <v>24</v>
      </c>
      <c r="AI43" s="32">
        <v>25</v>
      </c>
      <c r="AJ43" s="32">
        <v>26</v>
      </c>
      <c r="AK43" s="32">
        <v>27</v>
      </c>
      <c r="AL43" s="32">
        <v>28</v>
      </c>
      <c r="AM43" s="96" t="s">
        <v>64</v>
      </c>
    </row>
    <row r="44" spans="1:39">
      <c r="A44" s="2" t="s">
        <v>9</v>
      </c>
      <c r="B44" s="2">
        <v>5</v>
      </c>
      <c r="C44" s="2">
        <v>8</v>
      </c>
      <c r="D44" s="2">
        <v>20</v>
      </c>
      <c r="E44" s="2">
        <v>28</v>
      </c>
      <c r="F44" s="2">
        <f t="shared" si="10"/>
        <v>23</v>
      </c>
      <c r="G44" s="2">
        <f t="shared" si="11"/>
        <v>15</v>
      </c>
      <c r="H44" s="26">
        <f t="shared" si="12"/>
        <v>2.875</v>
      </c>
      <c r="K44" s="39"/>
      <c r="L44" s="38"/>
      <c r="M44" s="37"/>
      <c r="N44" s="38"/>
      <c r="O44" s="37"/>
      <c r="P44" s="37"/>
      <c r="Q44" s="37"/>
      <c r="R44" s="37"/>
    </row>
    <row r="45" spans="1:39">
      <c r="A45" s="2" t="s">
        <v>48</v>
      </c>
      <c r="B45" s="2">
        <v>6</v>
      </c>
      <c r="C45" s="2">
        <v>1</v>
      </c>
      <c r="D45" s="2">
        <v>6</v>
      </c>
      <c r="E45" s="2">
        <v>7</v>
      </c>
      <c r="F45" s="2">
        <f t="shared" si="10"/>
        <v>1</v>
      </c>
      <c r="G45" s="2">
        <f t="shared" si="11"/>
        <v>0</v>
      </c>
      <c r="H45" s="26">
        <f t="shared" si="12"/>
        <v>1</v>
      </c>
      <c r="K45" t="s">
        <v>7</v>
      </c>
      <c r="M45" t="s">
        <v>8</v>
      </c>
      <c r="O45" t="s">
        <v>9</v>
      </c>
      <c r="P45" t="s">
        <v>48</v>
      </c>
      <c r="Q45" t="s">
        <v>10</v>
      </c>
      <c r="R45" t="s">
        <v>11</v>
      </c>
    </row>
    <row r="46" spans="1:39">
      <c r="A46" s="2" t="s">
        <v>10</v>
      </c>
      <c r="B46" s="2">
        <v>7</v>
      </c>
      <c r="C46" s="2">
        <v>4</v>
      </c>
      <c r="D46" s="2">
        <v>11</v>
      </c>
      <c r="E46" s="2">
        <v>15</v>
      </c>
      <c r="F46" s="2">
        <f t="shared" si="10"/>
        <v>8</v>
      </c>
      <c r="G46" s="2">
        <f t="shared" si="11"/>
        <v>4</v>
      </c>
      <c r="H46" s="26">
        <f t="shared" si="12"/>
        <v>2</v>
      </c>
    </row>
    <row r="47" spans="1:39">
      <c r="A47" s="3" t="s">
        <v>11</v>
      </c>
      <c r="B47" s="3">
        <v>8</v>
      </c>
      <c r="C47" s="3">
        <v>5</v>
      </c>
      <c r="D47" s="3">
        <v>15</v>
      </c>
      <c r="E47" s="3">
        <v>20</v>
      </c>
      <c r="F47" s="3">
        <f t="shared" si="10"/>
        <v>12</v>
      </c>
      <c r="G47" s="3">
        <f t="shared" si="11"/>
        <v>7</v>
      </c>
      <c r="H47" s="27">
        <f t="shared" si="12"/>
        <v>2.4</v>
      </c>
    </row>
    <row r="48" spans="1:39">
      <c r="A48" s="2"/>
      <c r="B48" s="2"/>
      <c r="C48" s="34">
        <f>AVERAGE(C42:C47)</f>
        <v>4.5</v>
      </c>
      <c r="D48" s="34"/>
      <c r="E48" s="34"/>
      <c r="F48" s="84">
        <f>AVERAGE(F42:F47)</f>
        <v>9.1666666666666661</v>
      </c>
      <c r="G48" s="84">
        <f>AVERAGE(G42:G47)</f>
        <v>4.666666666666667</v>
      </c>
      <c r="H48" s="84">
        <f>AVERAGE(H42:H47)</f>
        <v>1.7680555555555555</v>
      </c>
    </row>
    <row r="49" spans="1:39">
      <c r="A49" s="2"/>
      <c r="B49" s="2"/>
      <c r="C49" s="2"/>
      <c r="D49" s="2"/>
      <c r="E49" s="2"/>
      <c r="F49" s="2"/>
      <c r="G49" s="2"/>
      <c r="H49" s="26"/>
    </row>
    <row r="50" spans="1:39">
      <c r="A50" s="121" t="s">
        <v>28</v>
      </c>
      <c r="B50" s="121"/>
      <c r="C50" s="121"/>
      <c r="D50" s="121"/>
      <c r="E50" s="121"/>
      <c r="N50" t="s">
        <v>7</v>
      </c>
      <c r="T50" t="s">
        <v>8</v>
      </c>
      <c r="X50" t="s">
        <v>10</v>
      </c>
      <c r="AC50" t="s">
        <v>11</v>
      </c>
      <c r="AK50" t="s">
        <v>9</v>
      </c>
    </row>
    <row r="51" spans="1:39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24</v>
      </c>
      <c r="H51" s="1" t="s">
        <v>23</v>
      </c>
    </row>
    <row r="52" spans="1:39">
      <c r="A52" s="2" t="s">
        <v>7</v>
      </c>
      <c r="B52" s="2">
        <v>1</v>
      </c>
      <c r="C52" s="2">
        <v>3</v>
      </c>
      <c r="D52" s="2">
        <v>1</v>
      </c>
      <c r="E52" s="2">
        <v>4</v>
      </c>
      <c r="F52" s="2">
        <f>E52-B52</f>
        <v>3</v>
      </c>
      <c r="G52" s="2">
        <f>F52-C52</f>
        <v>0</v>
      </c>
      <c r="H52" s="26">
        <f>F52/C52</f>
        <v>1</v>
      </c>
      <c r="J52" s="5"/>
      <c r="K52" s="116" t="s">
        <v>7</v>
      </c>
      <c r="L52" s="116"/>
      <c r="M52" s="116"/>
      <c r="N52" s="117" t="s">
        <v>8</v>
      </c>
      <c r="O52" s="117"/>
      <c r="P52" s="117"/>
      <c r="Q52" s="117"/>
      <c r="R52" s="117"/>
      <c r="S52" s="117"/>
      <c r="T52" s="118" t="s">
        <v>10</v>
      </c>
      <c r="U52" s="118"/>
      <c r="V52" s="118"/>
      <c r="W52" s="118"/>
      <c r="X52" s="119" t="s">
        <v>11</v>
      </c>
      <c r="Y52" s="119"/>
      <c r="Z52" s="119"/>
      <c r="AA52" s="119"/>
      <c r="AB52" s="119"/>
      <c r="AC52" s="120" t="s">
        <v>9</v>
      </c>
      <c r="AD52" s="120"/>
      <c r="AE52" s="120"/>
      <c r="AF52" s="120"/>
      <c r="AG52" s="120"/>
      <c r="AH52" s="120"/>
      <c r="AI52" s="120"/>
      <c r="AJ52" s="120"/>
    </row>
    <row r="53" spans="1:39">
      <c r="A53" s="2" t="s">
        <v>8</v>
      </c>
      <c r="B53" s="2">
        <v>3</v>
      </c>
      <c r="C53" s="2">
        <v>6</v>
      </c>
      <c r="D53" s="2">
        <v>4</v>
      </c>
      <c r="E53" s="2">
        <v>10</v>
      </c>
      <c r="F53" s="2">
        <f t="shared" ref="F53:F56" si="13">E53-B53</f>
        <v>7</v>
      </c>
      <c r="G53" s="2">
        <f t="shared" ref="G53:G56" si="14">F53-C53</f>
        <v>1</v>
      </c>
      <c r="H53" s="26">
        <f t="shared" ref="H53:H56" si="15">F53/C53</f>
        <v>1.1666666666666667</v>
      </c>
      <c r="J53" s="32">
        <v>0</v>
      </c>
      <c r="K53" s="32">
        <v>1</v>
      </c>
      <c r="L53" s="32">
        <v>2</v>
      </c>
      <c r="M53" s="32">
        <v>3</v>
      </c>
      <c r="N53" s="32">
        <v>4</v>
      </c>
      <c r="O53" s="32">
        <v>5</v>
      </c>
      <c r="P53" s="32">
        <v>6</v>
      </c>
      <c r="Q53" s="32">
        <v>7</v>
      </c>
      <c r="R53" s="32">
        <v>8</v>
      </c>
      <c r="S53" s="32">
        <v>9</v>
      </c>
      <c r="T53" s="32">
        <v>10</v>
      </c>
      <c r="U53" s="32">
        <v>11</v>
      </c>
      <c r="V53" s="32">
        <v>12</v>
      </c>
      <c r="W53" s="32">
        <v>13</v>
      </c>
      <c r="X53" s="32">
        <v>14</v>
      </c>
      <c r="Y53" s="32">
        <v>15</v>
      </c>
      <c r="Z53" s="32">
        <v>16</v>
      </c>
      <c r="AA53" s="32">
        <v>17</v>
      </c>
      <c r="AB53" s="32">
        <v>18</v>
      </c>
      <c r="AC53" s="32">
        <v>19</v>
      </c>
      <c r="AD53" s="32">
        <v>20</v>
      </c>
      <c r="AE53" s="32">
        <v>21</v>
      </c>
      <c r="AF53" s="32">
        <v>22</v>
      </c>
      <c r="AG53" s="32">
        <v>23</v>
      </c>
      <c r="AH53" s="32">
        <v>24</v>
      </c>
      <c r="AI53" s="32">
        <v>25</v>
      </c>
      <c r="AJ53" s="32">
        <v>26</v>
      </c>
      <c r="AK53" s="32">
        <v>27</v>
      </c>
      <c r="AL53" s="96"/>
      <c r="AM53" s="96" t="s">
        <v>64</v>
      </c>
    </row>
    <row r="54" spans="1:39">
      <c r="A54" s="2" t="s">
        <v>9</v>
      </c>
      <c r="B54" s="2">
        <v>5</v>
      </c>
      <c r="C54" s="2">
        <v>8</v>
      </c>
      <c r="D54" s="2">
        <v>19</v>
      </c>
      <c r="E54" s="2">
        <v>27</v>
      </c>
      <c r="F54" s="2">
        <f t="shared" si="13"/>
        <v>22</v>
      </c>
      <c r="G54" s="2">
        <f t="shared" si="14"/>
        <v>14</v>
      </c>
      <c r="H54" s="26">
        <f t="shared" si="15"/>
        <v>2.75</v>
      </c>
      <c r="K54" s="39"/>
      <c r="L54" s="38"/>
      <c r="M54" s="37"/>
      <c r="N54" s="38"/>
      <c r="O54" s="37"/>
      <c r="P54" s="38"/>
      <c r="Q54" s="37"/>
      <c r="R54" s="37"/>
    </row>
    <row r="55" spans="1:39">
      <c r="A55" s="2" t="s">
        <v>10</v>
      </c>
      <c r="B55" s="2">
        <v>7</v>
      </c>
      <c r="C55" s="2">
        <v>4</v>
      </c>
      <c r="D55" s="2">
        <v>10</v>
      </c>
      <c r="E55" s="2">
        <v>14</v>
      </c>
      <c r="F55" s="2">
        <f t="shared" si="13"/>
        <v>7</v>
      </c>
      <c r="G55" s="2">
        <f t="shared" si="14"/>
        <v>3</v>
      </c>
      <c r="H55" s="26">
        <f t="shared" si="15"/>
        <v>1.75</v>
      </c>
      <c r="K55" t="s">
        <v>7</v>
      </c>
      <c r="M55" t="s">
        <v>8</v>
      </c>
      <c r="O55" t="s">
        <v>9</v>
      </c>
      <c r="Q55" t="s">
        <v>10</v>
      </c>
      <c r="R55" t="s">
        <v>11</v>
      </c>
    </row>
    <row r="56" spans="1:39">
      <c r="A56" s="3" t="s">
        <v>11</v>
      </c>
      <c r="B56" s="3">
        <v>8</v>
      </c>
      <c r="C56" s="3">
        <v>5</v>
      </c>
      <c r="D56" s="3">
        <v>14</v>
      </c>
      <c r="E56" s="3">
        <v>19</v>
      </c>
      <c r="F56" s="3">
        <f t="shared" si="13"/>
        <v>11</v>
      </c>
      <c r="G56" s="3">
        <f t="shared" si="14"/>
        <v>6</v>
      </c>
      <c r="H56" s="27">
        <f t="shared" si="15"/>
        <v>2.2000000000000002</v>
      </c>
      <c r="J56" s="46"/>
      <c r="K56" s="46"/>
      <c r="L56" s="46"/>
      <c r="M56" s="46" t="s">
        <v>8</v>
      </c>
      <c r="N56" s="46"/>
      <c r="O56" s="46" t="s">
        <v>9</v>
      </c>
      <c r="P56" s="46"/>
      <c r="Q56" s="46" t="s">
        <v>9</v>
      </c>
      <c r="R56" s="46" t="s">
        <v>9</v>
      </c>
      <c r="S56" s="46"/>
      <c r="T56" s="46" t="s">
        <v>9</v>
      </c>
      <c r="U56" s="46"/>
      <c r="V56" s="46"/>
      <c r="X56" s="46" t="s">
        <v>9</v>
      </c>
      <c r="AB56" t="s">
        <v>58</v>
      </c>
    </row>
    <row r="57" spans="1:39">
      <c r="A57" s="2"/>
      <c r="B57" s="2"/>
      <c r="C57" s="34">
        <f>AVERAGE(C52:C56)</f>
        <v>5.2</v>
      </c>
      <c r="D57" s="34"/>
      <c r="E57" s="34"/>
      <c r="F57" s="34">
        <f>AVERAGE(F52:F56)</f>
        <v>10</v>
      </c>
      <c r="G57" s="34">
        <f>AVERAGE(G52:G56)</f>
        <v>4.8</v>
      </c>
      <c r="H57" s="84">
        <f>AVERAGE(H52:H56)</f>
        <v>1.7733333333333334</v>
      </c>
      <c r="J57" s="46"/>
      <c r="K57" s="46"/>
      <c r="L57" s="46"/>
      <c r="M57" s="46"/>
      <c r="N57" s="46"/>
      <c r="O57" s="46"/>
      <c r="P57" s="46"/>
      <c r="Q57" s="46" t="s">
        <v>10</v>
      </c>
      <c r="R57" s="46" t="s">
        <v>10</v>
      </c>
      <c r="S57" s="46"/>
      <c r="T57" s="46" t="s">
        <v>11</v>
      </c>
      <c r="U57" s="46"/>
      <c r="V57" s="46"/>
      <c r="AB57" s="28" t="s">
        <v>59</v>
      </c>
      <c r="AC57" s="28"/>
      <c r="AD57" s="28"/>
      <c r="AE57" s="28"/>
      <c r="AF57" s="28"/>
    </row>
    <row r="58" spans="1:39">
      <c r="J58" s="46"/>
      <c r="K58" s="46"/>
      <c r="L58" s="46"/>
      <c r="M58" s="46"/>
      <c r="N58" s="46"/>
      <c r="O58" s="46"/>
      <c r="P58" s="46"/>
      <c r="Q58" s="46"/>
      <c r="R58" s="46" t="s">
        <v>11</v>
      </c>
      <c r="S58" s="46"/>
      <c r="T58" s="46"/>
      <c r="U58" s="46"/>
      <c r="V58" t="s">
        <v>55</v>
      </c>
    </row>
    <row r="59" spans="1:39"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28" t="s">
        <v>56</v>
      </c>
      <c r="W59" s="28"/>
      <c r="X59" s="28"/>
      <c r="Y59" s="28"/>
      <c r="Z59" s="28"/>
    </row>
    <row r="60" spans="1:39">
      <c r="V60" t="s">
        <v>57</v>
      </c>
    </row>
    <row r="65" spans="10:10" ht="17.25">
      <c r="J65" s="15"/>
    </row>
    <row r="66" spans="10:10" ht="17.25">
      <c r="J66" s="15"/>
    </row>
    <row r="67" spans="10:10" ht="17.25">
      <c r="J67" s="15"/>
    </row>
    <row r="68" spans="10:10" ht="17.25">
      <c r="J68" s="15"/>
    </row>
    <row r="69" spans="10:10" ht="17.25">
      <c r="J69" s="19"/>
    </row>
    <row r="70" spans="10:10" ht="17.25">
      <c r="J70" s="19"/>
    </row>
    <row r="71" spans="10:10" ht="17.25">
      <c r="J71" s="19"/>
    </row>
    <row r="72" spans="10:10" ht="17.25">
      <c r="J72" s="19"/>
    </row>
    <row r="73" spans="10:10" ht="17.25">
      <c r="J73" s="19"/>
    </row>
    <row r="74" spans="10:10" ht="17.25">
      <c r="J74" s="19"/>
    </row>
    <row r="75" spans="10:10" ht="17.25">
      <c r="J75" s="19"/>
    </row>
    <row r="76" spans="10:10" ht="17.25">
      <c r="J76" s="19"/>
    </row>
    <row r="77" spans="10:10" ht="17.25">
      <c r="J77" s="19"/>
    </row>
    <row r="78" spans="10:10" ht="17.25">
      <c r="J78" s="19"/>
    </row>
    <row r="79" spans="10:10" ht="17.25">
      <c r="J79" s="19"/>
    </row>
    <row r="80" spans="10:10" ht="18" thickBot="1">
      <c r="J80" s="16"/>
    </row>
    <row r="81" spans="10:10" ht="18" thickBot="1">
      <c r="J81" s="14"/>
    </row>
    <row r="82" spans="10:10" ht="18" thickBot="1">
      <c r="J82" s="14"/>
    </row>
    <row r="83" spans="10:10" ht="18" thickBot="1">
      <c r="J83" s="14"/>
    </row>
    <row r="84" spans="10:10" ht="18" thickBot="1">
      <c r="J84" s="14"/>
    </row>
    <row r="85" spans="10:10" ht="18" thickBot="1">
      <c r="J85" s="14"/>
    </row>
    <row r="86" spans="10:10" ht="18" thickBot="1">
      <c r="J86" s="14"/>
    </row>
    <row r="87" spans="10:10" ht="18" thickBot="1">
      <c r="J87" s="14"/>
    </row>
    <row r="88" spans="10:10" ht="18" thickBot="1">
      <c r="J88" s="14"/>
    </row>
    <row r="89" spans="10:10" ht="18" thickBot="1">
      <c r="J89" s="14"/>
    </row>
    <row r="90" spans="10:10" ht="18" thickBot="1">
      <c r="J90" s="14"/>
    </row>
    <row r="91" spans="10:10" ht="18" thickBot="1">
      <c r="J91" s="14"/>
    </row>
    <row r="92" spans="10:10" ht="18" thickBot="1">
      <c r="J92" s="13"/>
    </row>
    <row r="93" spans="10:10" ht="18" thickBot="1">
      <c r="J93" s="13"/>
    </row>
    <row r="94" spans="10:10" ht="18" thickBot="1">
      <c r="J94" s="13"/>
    </row>
    <row r="95" spans="10:10" ht="18" thickBot="1">
      <c r="J95" s="13"/>
    </row>
    <row r="96" spans="10:10" ht="18" thickBot="1">
      <c r="J96" s="13"/>
    </row>
    <row r="97" spans="10:10" ht="18" thickBot="1">
      <c r="J97" s="13"/>
    </row>
    <row r="98" spans="10:10" ht="18" thickBot="1">
      <c r="J98" s="13"/>
    </row>
    <row r="99" spans="10:10" ht="18" thickBot="1">
      <c r="J99" s="14"/>
    </row>
    <row r="100" spans="10:10" ht="18" thickBot="1">
      <c r="J100" s="14"/>
    </row>
    <row r="101" spans="10:10" ht="18" thickBot="1">
      <c r="J101" s="14"/>
    </row>
    <row r="102" spans="10:10" ht="18" thickBot="1">
      <c r="J102" s="14"/>
    </row>
    <row r="103" spans="10:10" ht="18" thickBot="1">
      <c r="J103" s="14"/>
    </row>
    <row r="104" spans="10:10" ht="18" thickBot="1">
      <c r="J104" s="14"/>
    </row>
    <row r="105" spans="10:10" ht="18" thickBot="1">
      <c r="J105" s="14"/>
    </row>
    <row r="106" spans="10:10" ht="18" thickBot="1">
      <c r="J106" s="14"/>
    </row>
  </sheetData>
  <mergeCells count="37">
    <mergeCell ref="A1:D1"/>
    <mergeCell ref="A10:C10"/>
    <mergeCell ref="A20:C20"/>
    <mergeCell ref="A31:D31"/>
    <mergeCell ref="A50:E50"/>
    <mergeCell ref="A40:D40"/>
    <mergeCell ref="K52:M52"/>
    <mergeCell ref="N52:S52"/>
    <mergeCell ref="T52:W52"/>
    <mergeCell ref="X52:AB52"/>
    <mergeCell ref="AC52:AJ52"/>
    <mergeCell ref="K3:M3"/>
    <mergeCell ref="N3:S3"/>
    <mergeCell ref="T3:AA3"/>
    <mergeCell ref="AB3:AE3"/>
    <mergeCell ref="AF3:AJ3"/>
    <mergeCell ref="AD42:AK42"/>
    <mergeCell ref="AC23:AE23"/>
    <mergeCell ref="AG23:AH23"/>
    <mergeCell ref="AI23:AJ23"/>
    <mergeCell ref="K12:L12"/>
    <mergeCell ref="K23:M23"/>
    <mergeCell ref="N23:P23"/>
    <mergeCell ref="Q23:S23"/>
    <mergeCell ref="T23:V23"/>
    <mergeCell ref="W23:Y23"/>
    <mergeCell ref="Z23:AB23"/>
    <mergeCell ref="K33:M33"/>
    <mergeCell ref="N33:S33"/>
    <mergeCell ref="T33:W33"/>
    <mergeCell ref="X33:AB33"/>
    <mergeCell ref="AC33:AJ33"/>
    <mergeCell ref="K42:M42"/>
    <mergeCell ref="N42:O42"/>
    <mergeCell ref="Q42:T42"/>
    <mergeCell ref="U42:X42"/>
    <mergeCell ref="Y42:AC42"/>
  </mergeCell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67"/>
  <sheetViews>
    <sheetView topLeftCell="A19" zoomScale="170" zoomScaleNormal="170" workbookViewId="0">
      <selection activeCell="C38" sqref="C38:H38"/>
    </sheetView>
  </sheetViews>
  <sheetFormatPr baseColWidth="10" defaultRowHeight="15"/>
  <cols>
    <col min="1" max="5" width="8.7109375" customWidth="1"/>
    <col min="6" max="6" width="5.7109375" customWidth="1"/>
    <col min="7" max="8" width="6.42578125" customWidth="1"/>
    <col min="9" max="10" width="5.140625" customWidth="1"/>
    <col min="11" max="32" width="3.28515625" customWidth="1"/>
    <col min="33" max="42" width="2.7109375" customWidth="1"/>
  </cols>
  <sheetData>
    <row r="1" spans="1:42">
      <c r="A1" s="6" t="s">
        <v>60</v>
      </c>
      <c r="B1" s="6"/>
      <c r="C1" s="81" t="s">
        <v>12</v>
      </c>
      <c r="D1" s="82" t="s">
        <v>21</v>
      </c>
      <c r="E1" s="82" t="s">
        <v>22</v>
      </c>
      <c r="AB1" s="61" t="s">
        <v>43</v>
      </c>
      <c r="AC1" s="61"/>
      <c r="AD1" s="61"/>
      <c r="AE1" s="61"/>
      <c r="AF1" s="61"/>
      <c r="AG1" s="61"/>
      <c r="AH1" s="61"/>
    </row>
    <row r="2" spans="1:42">
      <c r="A2" s="1" t="s">
        <v>0</v>
      </c>
      <c r="B2" s="1" t="s">
        <v>18</v>
      </c>
      <c r="C2" s="1" t="s">
        <v>2</v>
      </c>
      <c r="D2" s="1" t="s">
        <v>19</v>
      </c>
      <c r="E2" s="1" t="s">
        <v>20</v>
      </c>
      <c r="F2" s="1" t="s">
        <v>5</v>
      </c>
      <c r="G2" s="1" t="s">
        <v>24</v>
      </c>
      <c r="H2" s="1" t="s">
        <v>23</v>
      </c>
      <c r="I2" s="2"/>
      <c r="J2" s="2"/>
      <c r="K2" s="33">
        <v>0</v>
      </c>
      <c r="L2" s="33">
        <v>1</v>
      </c>
      <c r="M2" s="33">
        <v>2</v>
      </c>
      <c r="N2" s="33">
        <v>3</v>
      </c>
      <c r="O2" s="11"/>
      <c r="P2" s="11"/>
      <c r="Q2" s="11"/>
      <c r="R2" s="11"/>
      <c r="S2" s="11"/>
      <c r="T2" s="33">
        <v>0</v>
      </c>
      <c r="U2" s="33">
        <v>2</v>
      </c>
      <c r="V2" s="33">
        <v>3</v>
      </c>
      <c r="W2" s="33">
        <v>4</v>
      </c>
      <c r="X2" s="33">
        <v>5</v>
      </c>
      <c r="Y2" s="33">
        <v>6</v>
      </c>
      <c r="Z2" s="11"/>
      <c r="AA2" s="11"/>
      <c r="AB2" s="62" t="s">
        <v>42</v>
      </c>
      <c r="AC2" s="62"/>
      <c r="AD2" s="62"/>
      <c r="AE2" s="62"/>
      <c r="AF2" s="46"/>
      <c r="AG2" s="46"/>
      <c r="AH2" s="46"/>
      <c r="AI2" s="46"/>
      <c r="AJ2" s="46"/>
    </row>
    <row r="3" spans="1:42">
      <c r="A3" s="2" t="s">
        <v>13</v>
      </c>
      <c r="B3" s="2">
        <v>0</v>
      </c>
      <c r="C3" s="2">
        <v>3</v>
      </c>
      <c r="D3" s="2">
        <v>0</v>
      </c>
      <c r="E3" s="2">
        <v>4</v>
      </c>
      <c r="F3" s="2">
        <f>E3-B3</f>
        <v>4</v>
      </c>
      <c r="G3" s="2">
        <f>F3-C3</f>
        <v>1</v>
      </c>
      <c r="H3" s="26">
        <f>F3/C3</f>
        <v>1.3333333333333333</v>
      </c>
      <c r="I3" s="26"/>
      <c r="J3" s="35" t="s">
        <v>13</v>
      </c>
      <c r="K3" s="116"/>
      <c r="L3" s="116"/>
      <c r="M3" s="20"/>
      <c r="N3" s="21"/>
      <c r="O3" s="2"/>
      <c r="P3" s="2"/>
      <c r="Q3" s="2"/>
      <c r="R3" s="2"/>
      <c r="S3" s="36" t="s">
        <v>16</v>
      </c>
      <c r="T3" s="20"/>
      <c r="U3" s="22"/>
      <c r="V3" s="22"/>
      <c r="W3" s="22"/>
      <c r="X3" s="22"/>
      <c r="Y3" s="22"/>
      <c r="Z3" s="2"/>
      <c r="AA3" s="2"/>
      <c r="AB3" s="2"/>
      <c r="AC3" s="2"/>
      <c r="AD3" s="2"/>
      <c r="AE3" s="2"/>
    </row>
    <row r="4" spans="1:42">
      <c r="A4" s="2" t="s">
        <v>14</v>
      </c>
      <c r="B4" s="2">
        <v>1</v>
      </c>
      <c r="C4" s="2">
        <v>5</v>
      </c>
      <c r="D4" s="2">
        <v>2</v>
      </c>
      <c r="E4" s="2">
        <v>10</v>
      </c>
      <c r="F4" s="2">
        <f t="shared" ref="F4:F7" si="0">E4-B4</f>
        <v>9</v>
      </c>
      <c r="G4" s="2">
        <f t="shared" ref="G4:G7" si="1">F4-C4</f>
        <v>4</v>
      </c>
      <c r="H4" s="26">
        <f t="shared" ref="H4:H7" si="2">F4/C4</f>
        <v>1.8</v>
      </c>
      <c r="I4" s="26"/>
      <c r="J4" s="2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42">
      <c r="A5" s="2" t="s">
        <v>15</v>
      </c>
      <c r="B5" s="2">
        <v>3</v>
      </c>
      <c r="C5" s="2">
        <v>2</v>
      </c>
      <c r="D5" s="2">
        <v>6</v>
      </c>
      <c r="E5" s="2">
        <v>9</v>
      </c>
      <c r="F5" s="2">
        <f t="shared" si="0"/>
        <v>6</v>
      </c>
      <c r="G5" s="2">
        <f t="shared" si="1"/>
        <v>4</v>
      </c>
      <c r="H5" s="26">
        <f t="shared" si="2"/>
        <v>3</v>
      </c>
      <c r="I5" s="26"/>
      <c r="J5" s="26"/>
      <c r="K5" s="2"/>
      <c r="L5" s="33">
        <v>0</v>
      </c>
      <c r="M5" s="33">
        <v>2</v>
      </c>
      <c r="N5" s="33">
        <v>3</v>
      </c>
      <c r="O5" s="33">
        <v>4</v>
      </c>
      <c r="P5" s="33">
        <v>5</v>
      </c>
      <c r="Q5" s="33">
        <v>6</v>
      </c>
      <c r="R5" s="33">
        <v>7</v>
      </c>
      <c r="S5" s="33">
        <v>8</v>
      </c>
      <c r="T5" s="33">
        <v>9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42">
      <c r="A6" s="2" t="s">
        <v>16</v>
      </c>
      <c r="B6" s="2">
        <v>9</v>
      </c>
      <c r="C6" s="2">
        <v>5</v>
      </c>
      <c r="D6" s="2">
        <v>10</v>
      </c>
      <c r="E6" s="2">
        <v>15</v>
      </c>
      <c r="F6" s="2">
        <f t="shared" si="0"/>
        <v>6</v>
      </c>
      <c r="G6" s="2">
        <f t="shared" si="1"/>
        <v>1</v>
      </c>
      <c r="H6" s="26">
        <f t="shared" si="2"/>
        <v>1.2</v>
      </c>
      <c r="I6" s="26"/>
      <c r="J6" s="26"/>
      <c r="K6" s="36" t="s">
        <v>14</v>
      </c>
      <c r="L6" s="20"/>
      <c r="M6" s="23"/>
      <c r="N6" s="20"/>
      <c r="O6" s="23"/>
      <c r="P6" s="23"/>
      <c r="Q6" s="20"/>
      <c r="R6" s="23"/>
      <c r="S6" s="20"/>
      <c r="T6" s="23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42">
      <c r="A7" s="3" t="s">
        <v>6</v>
      </c>
      <c r="B7" s="3">
        <v>12</v>
      </c>
      <c r="C7" s="3">
        <v>5</v>
      </c>
      <c r="D7" s="3">
        <v>15</v>
      </c>
      <c r="E7" s="3">
        <v>20</v>
      </c>
      <c r="F7" s="3">
        <f t="shared" si="0"/>
        <v>8</v>
      </c>
      <c r="G7" s="3">
        <f t="shared" si="1"/>
        <v>3</v>
      </c>
      <c r="H7" s="27">
        <f t="shared" si="2"/>
        <v>1.6</v>
      </c>
      <c r="I7" s="26"/>
      <c r="J7" s="2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42">
      <c r="A8" s="2"/>
      <c r="B8" s="2"/>
      <c r="C8" s="91">
        <f>AVERAGE(C3:C7)</f>
        <v>4</v>
      </c>
      <c r="D8" s="91"/>
      <c r="E8" s="91"/>
      <c r="F8" s="91">
        <f t="shared" ref="F8:H8" si="3">AVERAGE(F3:F7)</f>
        <v>6.6</v>
      </c>
      <c r="G8" s="91">
        <f t="shared" si="3"/>
        <v>2.6</v>
      </c>
      <c r="H8" s="105">
        <f t="shared" si="3"/>
        <v>1.7866666666666666</v>
      </c>
      <c r="I8" s="26"/>
      <c r="J8" s="26"/>
      <c r="K8" s="2"/>
      <c r="L8" s="2"/>
      <c r="M8" s="2"/>
      <c r="N8" s="34">
        <v>0</v>
      </c>
      <c r="O8" s="34">
        <v>2</v>
      </c>
      <c r="P8" s="34">
        <v>4</v>
      </c>
      <c r="Q8" s="34">
        <v>6</v>
      </c>
      <c r="R8" s="34">
        <v>7</v>
      </c>
      <c r="S8" s="34">
        <v>8</v>
      </c>
      <c r="T8" s="2"/>
      <c r="U8" s="2"/>
      <c r="V8" s="2"/>
      <c r="W8" s="34">
        <v>0</v>
      </c>
      <c r="X8" s="34">
        <v>2</v>
      </c>
      <c r="Y8" s="34">
        <v>4</v>
      </c>
      <c r="Z8" s="34">
        <v>6</v>
      </c>
      <c r="AA8" s="34">
        <v>7</v>
      </c>
      <c r="AB8" s="34">
        <v>8</v>
      </c>
      <c r="AC8" s="34">
        <v>9</v>
      </c>
      <c r="AD8" s="34">
        <v>10</v>
      </c>
      <c r="AE8" s="2"/>
    </row>
    <row r="9" spans="1:42">
      <c r="K9" s="2"/>
      <c r="L9" s="2"/>
      <c r="M9" s="36" t="s">
        <v>15</v>
      </c>
      <c r="N9" s="123"/>
      <c r="O9" s="123"/>
      <c r="P9" s="123"/>
      <c r="Q9" s="24"/>
      <c r="R9" s="20"/>
      <c r="S9" s="24"/>
      <c r="T9" s="2"/>
      <c r="U9" s="2"/>
      <c r="V9" s="36" t="s">
        <v>6</v>
      </c>
      <c r="W9" s="123"/>
      <c r="X9" s="123"/>
      <c r="Y9" s="123"/>
      <c r="Z9" s="25"/>
      <c r="AA9" s="25"/>
      <c r="AB9" s="25"/>
      <c r="AC9" s="25"/>
      <c r="AD9" s="25"/>
      <c r="AE9" s="2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</row>
    <row r="10" spans="1:42"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>
      <c r="K11" s="11"/>
      <c r="L11" s="11"/>
      <c r="M11" s="11"/>
      <c r="N11" s="11"/>
      <c r="O11" s="11" t="s">
        <v>13</v>
      </c>
      <c r="P11" s="11"/>
      <c r="Q11" s="11"/>
      <c r="R11" s="11"/>
      <c r="S11" s="11"/>
      <c r="T11" s="11" t="s">
        <v>15</v>
      </c>
      <c r="U11" s="11" t="s">
        <v>14</v>
      </c>
      <c r="V11" s="11"/>
      <c r="W11" s="11"/>
      <c r="X11" s="11"/>
      <c r="Y11" s="11"/>
      <c r="Z11" s="11" t="s">
        <v>16</v>
      </c>
      <c r="AA11" s="11"/>
      <c r="AB11" s="11"/>
      <c r="AC11" s="11"/>
      <c r="AD11" s="11"/>
      <c r="AE11" s="11" t="s">
        <v>6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>
      <c r="K12" s="2"/>
      <c r="L12" s="2"/>
      <c r="M12" s="2"/>
      <c r="N12" s="2"/>
      <c r="O12" s="3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>
      <c r="K13" s="126" t="s">
        <v>13</v>
      </c>
      <c r="L13" s="126"/>
      <c r="M13" s="23" t="s">
        <v>14</v>
      </c>
      <c r="N13" s="21" t="s">
        <v>13</v>
      </c>
      <c r="O13" s="118" t="s">
        <v>14</v>
      </c>
      <c r="P13" s="118"/>
      <c r="Q13" s="24" t="s">
        <v>15</v>
      </c>
      <c r="R13" s="23" t="s">
        <v>14</v>
      </c>
      <c r="S13" s="24" t="s">
        <v>15</v>
      </c>
      <c r="T13" s="23" t="s">
        <v>14</v>
      </c>
      <c r="U13" s="122" t="s">
        <v>16</v>
      </c>
      <c r="V13" s="122"/>
      <c r="W13" s="122"/>
      <c r="X13" s="122"/>
      <c r="Y13" s="122"/>
      <c r="Z13" s="120" t="s">
        <v>6</v>
      </c>
      <c r="AA13" s="120"/>
      <c r="AB13" s="120"/>
      <c r="AC13" s="120"/>
      <c r="AD13" s="120"/>
      <c r="AE13" s="2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>
      <c r="K14" s="32">
        <v>0</v>
      </c>
      <c r="L14" s="32">
        <v>1</v>
      </c>
      <c r="M14" s="32">
        <v>2</v>
      </c>
      <c r="N14" s="32">
        <v>3</v>
      </c>
      <c r="O14" s="32">
        <v>4</v>
      </c>
      <c r="P14" s="32"/>
      <c r="Q14" s="32">
        <v>6</v>
      </c>
      <c r="R14" s="32"/>
      <c r="S14" s="32">
        <v>8</v>
      </c>
      <c r="T14" s="32">
        <v>9</v>
      </c>
      <c r="U14" s="32">
        <v>10</v>
      </c>
      <c r="V14" s="32"/>
      <c r="W14" s="32">
        <v>12</v>
      </c>
      <c r="X14" s="32"/>
      <c r="Y14" s="32"/>
      <c r="Z14" s="32">
        <v>15</v>
      </c>
      <c r="AA14" s="32"/>
      <c r="AB14" s="32"/>
      <c r="AC14" s="32"/>
      <c r="AD14" s="32"/>
      <c r="AE14" s="97">
        <v>20</v>
      </c>
      <c r="AF14" s="97"/>
      <c r="AG14" s="96" t="s">
        <v>64</v>
      </c>
      <c r="AH14" s="97"/>
      <c r="AI14" s="97"/>
      <c r="AJ14" s="2"/>
      <c r="AK14" s="2"/>
      <c r="AL14" s="2"/>
      <c r="AM14" s="2"/>
      <c r="AN14" s="2"/>
      <c r="AO14" s="2"/>
      <c r="AP14" s="2"/>
    </row>
    <row r="15" spans="1:42">
      <c r="K15" s="37"/>
      <c r="L15" s="37"/>
      <c r="M15" s="38"/>
      <c r="N15" s="37"/>
      <c r="O15" s="38"/>
      <c r="P15" s="38"/>
      <c r="Q15" s="38"/>
      <c r="R15" s="38"/>
      <c r="S15" s="38"/>
      <c r="T15" s="37"/>
      <c r="U15" s="38"/>
      <c r="V15" s="38"/>
      <c r="W15" s="37"/>
      <c r="X15" s="40"/>
      <c r="Y15" s="40"/>
      <c r="Z15" s="40"/>
      <c r="AA15" s="40"/>
      <c r="AB15" s="40"/>
      <c r="AC15" s="40"/>
      <c r="AD15" s="40"/>
      <c r="AE15" s="41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>
      <c r="K16" s="11" t="s">
        <v>13</v>
      </c>
      <c r="L16" s="11" t="s">
        <v>14</v>
      </c>
      <c r="M16" s="11"/>
      <c r="N16" s="11" t="s">
        <v>15</v>
      </c>
      <c r="O16" s="11"/>
      <c r="P16" s="11"/>
      <c r="Q16" s="11"/>
      <c r="R16" s="11"/>
      <c r="S16" s="11"/>
      <c r="T16" s="11" t="s">
        <v>16</v>
      </c>
      <c r="U16" s="11"/>
      <c r="V16" s="11"/>
      <c r="W16" s="11" t="s">
        <v>6</v>
      </c>
      <c r="X16" s="40"/>
      <c r="Y16" s="40"/>
      <c r="Z16" s="40"/>
      <c r="AA16" s="40"/>
      <c r="AB16" s="40"/>
      <c r="AC16" s="40"/>
      <c r="AD16" s="40"/>
      <c r="AE16" s="41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>
      <c r="K17" s="59"/>
      <c r="L17" s="59" t="s">
        <v>14</v>
      </c>
      <c r="M17" s="59" t="s">
        <v>13</v>
      </c>
      <c r="N17" s="59" t="s">
        <v>15</v>
      </c>
      <c r="O17" s="59" t="s">
        <v>15</v>
      </c>
      <c r="P17" s="59" t="s">
        <v>15</v>
      </c>
      <c r="Q17" s="59" t="s">
        <v>14</v>
      </c>
      <c r="R17" s="59" t="s">
        <v>15</v>
      </c>
      <c r="S17" s="59" t="s">
        <v>14</v>
      </c>
      <c r="T17" s="59" t="s">
        <v>16</v>
      </c>
      <c r="U17" s="59"/>
      <c r="V17" s="59"/>
      <c r="W17" s="59" t="s">
        <v>6</v>
      </c>
      <c r="X17" s="59" t="s">
        <v>6</v>
      </c>
      <c r="Y17" s="59" t="s">
        <v>6</v>
      </c>
      <c r="Z17" s="59"/>
      <c r="AA17" s="59"/>
      <c r="AB17" s="59"/>
      <c r="AC17" s="59"/>
      <c r="AD17" s="59"/>
      <c r="AE17" s="55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>
      <c r="K18" s="59"/>
      <c r="L18" s="59"/>
      <c r="M18" s="59"/>
      <c r="N18" s="59" t="s">
        <v>14</v>
      </c>
      <c r="O18" s="59"/>
      <c r="P18" s="59"/>
      <c r="Q18" s="59"/>
      <c r="R18" s="59"/>
      <c r="S18" s="59"/>
      <c r="T18" s="59" t="s">
        <v>15</v>
      </c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5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9"/>
      <c r="Y19" s="59"/>
      <c r="Z19" s="59"/>
      <c r="AA19" s="59"/>
      <c r="AB19" s="59"/>
      <c r="AC19" s="59"/>
      <c r="AD19" s="59"/>
      <c r="AE19" s="55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2">
      <c r="A20" s="6" t="s">
        <v>61</v>
      </c>
      <c r="B20" s="6"/>
      <c r="C20" s="82" t="s">
        <v>12</v>
      </c>
      <c r="K20" s="11"/>
      <c r="L20" s="11"/>
      <c r="M20" s="11"/>
      <c r="N20" s="11"/>
      <c r="O20" s="11"/>
      <c r="P20" s="11"/>
      <c r="Q20" s="11" t="s">
        <v>13</v>
      </c>
      <c r="R20" s="11"/>
      <c r="S20" s="11" t="s">
        <v>15</v>
      </c>
      <c r="T20" s="11"/>
      <c r="U20" s="11"/>
      <c r="V20" s="11" t="s">
        <v>14</v>
      </c>
      <c r="W20" s="11"/>
      <c r="X20" s="11"/>
      <c r="Y20" s="11"/>
      <c r="Z20" s="11"/>
      <c r="AA20" s="11"/>
      <c r="AB20" s="11"/>
      <c r="AC20" s="11" t="s">
        <v>16</v>
      </c>
      <c r="AD20" s="11"/>
      <c r="AE20" s="11" t="s">
        <v>6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>
      <c r="A21" s="1" t="s">
        <v>0</v>
      </c>
      <c r="B21" s="1" t="s">
        <v>18</v>
      </c>
      <c r="C21" s="1" t="s">
        <v>2</v>
      </c>
      <c r="D21" s="1" t="s">
        <v>19</v>
      </c>
      <c r="E21" s="1" t="s">
        <v>20</v>
      </c>
      <c r="F21" s="1" t="s">
        <v>5</v>
      </c>
      <c r="G21" s="1" t="s">
        <v>24</v>
      </c>
      <c r="H21" s="1" t="s">
        <v>23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>
      <c r="A22" s="2" t="s">
        <v>13</v>
      </c>
      <c r="B22" s="2">
        <v>0</v>
      </c>
      <c r="C22" s="2">
        <v>3</v>
      </c>
      <c r="D22" s="2">
        <v>0</v>
      </c>
      <c r="E22" s="2">
        <v>6</v>
      </c>
      <c r="F22" s="2">
        <f>E22-B22</f>
        <v>6</v>
      </c>
      <c r="G22" s="2">
        <f>F22-C22</f>
        <v>3</v>
      </c>
      <c r="H22" s="26">
        <f>F22/C22</f>
        <v>2</v>
      </c>
      <c r="K22" s="4" t="s">
        <v>13</v>
      </c>
      <c r="L22" s="8" t="s">
        <v>14</v>
      </c>
      <c r="M22" s="4" t="s">
        <v>13</v>
      </c>
      <c r="N22" s="8" t="s">
        <v>14</v>
      </c>
      <c r="O22" s="18" t="s">
        <v>15</v>
      </c>
      <c r="P22" s="4" t="s">
        <v>13</v>
      </c>
      <c r="Q22" s="8" t="s">
        <v>14</v>
      </c>
      <c r="R22" s="18" t="s">
        <v>15</v>
      </c>
      <c r="S22" s="8" t="s">
        <v>14</v>
      </c>
      <c r="T22" s="12" t="s">
        <v>16</v>
      </c>
      <c r="U22" s="8" t="s">
        <v>14</v>
      </c>
      <c r="V22" s="12" t="s">
        <v>16</v>
      </c>
      <c r="W22" s="10" t="s">
        <v>6</v>
      </c>
      <c r="X22" s="12" t="s">
        <v>16</v>
      </c>
      <c r="Y22" s="10" t="s">
        <v>6</v>
      </c>
      <c r="Z22" s="12" t="s">
        <v>16</v>
      </c>
      <c r="AA22" s="10" t="s">
        <v>6</v>
      </c>
      <c r="AB22" s="12" t="s">
        <v>16</v>
      </c>
      <c r="AC22" s="120" t="s">
        <v>6</v>
      </c>
      <c r="AD22" s="120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>
      <c r="A23" s="2" t="s">
        <v>14</v>
      </c>
      <c r="B23" s="2">
        <v>1</v>
      </c>
      <c r="C23" s="2">
        <v>5</v>
      </c>
      <c r="D23" s="2">
        <v>1</v>
      </c>
      <c r="E23" s="2">
        <v>11</v>
      </c>
      <c r="F23" s="2">
        <f t="shared" ref="F23:F26" si="4">E23-B23</f>
        <v>10</v>
      </c>
      <c r="G23" s="2">
        <f t="shared" ref="G23:G26" si="5">F23-C23</f>
        <v>5</v>
      </c>
      <c r="H23" s="26">
        <f t="shared" ref="H23:H26" si="6">F23/C23</f>
        <v>2</v>
      </c>
      <c r="K23" s="32">
        <v>0</v>
      </c>
      <c r="L23" s="32">
        <v>1</v>
      </c>
      <c r="M23" s="32"/>
      <c r="N23" s="32">
        <v>3</v>
      </c>
      <c r="O23" s="32"/>
      <c r="P23" s="32">
        <v>5</v>
      </c>
      <c r="Q23" s="32"/>
      <c r="R23" s="32">
        <v>7</v>
      </c>
      <c r="S23" s="32"/>
      <c r="T23" s="32">
        <v>9</v>
      </c>
      <c r="U23" s="32"/>
      <c r="V23" s="32"/>
      <c r="W23" s="32">
        <v>12</v>
      </c>
      <c r="X23" s="32"/>
      <c r="Y23" s="32"/>
      <c r="Z23" s="32"/>
      <c r="AA23" s="32"/>
      <c r="AB23" s="32"/>
      <c r="AC23" s="32">
        <v>18</v>
      </c>
      <c r="AD23" s="32"/>
      <c r="AE23" s="32">
        <v>20</v>
      </c>
      <c r="AF23" s="32"/>
      <c r="AG23" s="96" t="s">
        <v>64</v>
      </c>
      <c r="AH23" s="32"/>
      <c r="AI23" s="32"/>
      <c r="AJ23" s="11"/>
      <c r="AK23" s="11"/>
      <c r="AL23" s="11"/>
      <c r="AM23" s="2"/>
      <c r="AN23" s="2"/>
      <c r="AO23" s="2"/>
      <c r="AP23" s="2"/>
    </row>
    <row r="24" spans="1:42">
      <c r="A24" s="2" t="s">
        <v>15</v>
      </c>
      <c r="B24" s="2">
        <v>3</v>
      </c>
      <c r="C24" s="2">
        <v>2</v>
      </c>
      <c r="D24" s="2">
        <v>4</v>
      </c>
      <c r="E24" s="2">
        <v>8</v>
      </c>
      <c r="F24" s="2">
        <f t="shared" si="4"/>
        <v>5</v>
      </c>
      <c r="G24" s="2">
        <f t="shared" si="5"/>
        <v>3</v>
      </c>
      <c r="H24" s="26">
        <f t="shared" si="6"/>
        <v>2.5</v>
      </c>
      <c r="K24" s="37"/>
      <c r="L24" s="37"/>
      <c r="M24" s="38"/>
      <c r="N24" s="37"/>
      <c r="O24" s="38"/>
      <c r="P24" s="38"/>
      <c r="Q24" s="38"/>
      <c r="R24" s="38"/>
      <c r="S24" s="38"/>
      <c r="T24" s="37"/>
      <c r="U24" s="38"/>
      <c r="V24" s="38"/>
      <c r="W24" s="37"/>
      <c r="AE24" s="11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>
      <c r="A25" s="2" t="s">
        <v>16</v>
      </c>
      <c r="B25" s="2">
        <v>9</v>
      </c>
      <c r="C25" s="2">
        <v>5</v>
      </c>
      <c r="D25" s="2">
        <v>9</v>
      </c>
      <c r="E25" s="2">
        <v>18</v>
      </c>
      <c r="F25" s="2">
        <f t="shared" si="4"/>
        <v>9</v>
      </c>
      <c r="G25" s="2">
        <f t="shared" si="5"/>
        <v>4</v>
      </c>
      <c r="H25" s="26">
        <f t="shared" si="6"/>
        <v>1.8</v>
      </c>
      <c r="K25" s="11" t="s">
        <v>13</v>
      </c>
      <c r="L25" s="11" t="s">
        <v>14</v>
      </c>
      <c r="M25" s="11"/>
      <c r="N25" s="11" t="s">
        <v>15</v>
      </c>
      <c r="O25" s="11"/>
      <c r="P25" s="11"/>
      <c r="Q25" s="11"/>
      <c r="R25" s="11"/>
      <c r="S25" s="11"/>
      <c r="T25" s="11" t="s">
        <v>16</v>
      </c>
      <c r="U25" s="11"/>
      <c r="V25" s="11"/>
      <c r="W25" s="11" t="s">
        <v>6</v>
      </c>
      <c r="X25" s="11"/>
      <c r="Y25" s="11"/>
      <c r="Z25" s="11"/>
      <c r="AA25" s="11"/>
      <c r="AB25" s="11"/>
      <c r="AC25" s="11"/>
      <c r="AD25" s="11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1:42">
      <c r="A26" s="3" t="s">
        <v>6</v>
      </c>
      <c r="B26" s="3">
        <v>12</v>
      </c>
      <c r="C26" s="3">
        <v>5</v>
      </c>
      <c r="D26" s="3">
        <v>12</v>
      </c>
      <c r="E26" s="3">
        <v>20</v>
      </c>
      <c r="F26" s="3">
        <f t="shared" si="4"/>
        <v>8</v>
      </c>
      <c r="G26" s="3">
        <f t="shared" si="5"/>
        <v>3</v>
      </c>
      <c r="H26" s="27">
        <f t="shared" si="6"/>
        <v>1.6</v>
      </c>
      <c r="K26" s="59"/>
      <c r="L26" s="59" t="s">
        <v>13</v>
      </c>
      <c r="M26" s="59" t="s">
        <v>14</v>
      </c>
      <c r="N26" s="59" t="s">
        <v>15</v>
      </c>
      <c r="O26" s="59" t="s">
        <v>13</v>
      </c>
      <c r="P26" s="59" t="s">
        <v>14</v>
      </c>
      <c r="Q26" s="59" t="s">
        <v>15</v>
      </c>
      <c r="R26" s="59" t="s">
        <v>14</v>
      </c>
      <c r="S26" s="59"/>
      <c r="T26" s="59" t="s">
        <v>14</v>
      </c>
      <c r="U26" s="59" t="s">
        <v>16</v>
      </c>
      <c r="V26" s="59"/>
      <c r="W26" s="59" t="s">
        <v>16</v>
      </c>
      <c r="X26" s="59" t="s">
        <v>6</v>
      </c>
      <c r="Y26" s="59" t="s">
        <v>16</v>
      </c>
      <c r="Z26" s="59" t="s">
        <v>6</v>
      </c>
      <c r="AA26" s="59" t="s">
        <v>16</v>
      </c>
      <c r="AB26" s="59" t="s">
        <v>6</v>
      </c>
      <c r="AC26" s="59"/>
      <c r="AD26" s="59"/>
      <c r="AE26" s="54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>
      <c r="A27" s="2"/>
      <c r="B27" s="2"/>
      <c r="C27" s="91">
        <f>AVERAGE(C22:C26)</f>
        <v>4</v>
      </c>
      <c r="D27" s="91"/>
      <c r="E27" s="91"/>
      <c r="F27" s="91">
        <f t="shared" ref="F27" si="7">AVERAGE(F22:F26)</f>
        <v>7.6</v>
      </c>
      <c r="G27" s="91">
        <f t="shared" ref="G27" si="8">AVERAGE(G22:G26)</f>
        <v>3.6</v>
      </c>
      <c r="H27" s="105">
        <f t="shared" ref="H27" si="9">AVERAGE(H22:H26)</f>
        <v>1.98</v>
      </c>
      <c r="K27" s="59"/>
      <c r="L27" s="59"/>
      <c r="M27" s="59"/>
      <c r="N27" s="59" t="s">
        <v>13</v>
      </c>
      <c r="O27" s="59" t="s">
        <v>14</v>
      </c>
      <c r="P27" s="59" t="s">
        <v>15</v>
      </c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4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>
      <c r="A28" s="2"/>
      <c r="B28" s="2"/>
      <c r="C28" s="2"/>
      <c r="D28" s="2"/>
      <c r="E28" s="2"/>
      <c r="F28" s="2"/>
      <c r="G28" s="2"/>
      <c r="H28" s="26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4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ht="17.25">
      <c r="K30" s="53"/>
      <c r="L30" s="53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ht="17.25">
      <c r="A31" s="6" t="s">
        <v>61</v>
      </c>
      <c r="B31" s="6"/>
      <c r="C31" s="82" t="s">
        <v>17</v>
      </c>
      <c r="K31" s="69"/>
      <c r="L31" s="70"/>
      <c r="M31" s="11"/>
      <c r="N31" s="11" t="s">
        <v>13</v>
      </c>
      <c r="O31" s="11"/>
      <c r="P31" s="11"/>
      <c r="Q31" s="11"/>
      <c r="R31" s="11"/>
      <c r="S31" s="11" t="s">
        <v>15</v>
      </c>
      <c r="T31" s="11"/>
      <c r="U31" s="11" t="s">
        <v>14</v>
      </c>
      <c r="V31" s="11"/>
      <c r="W31" s="11"/>
      <c r="X31" s="11"/>
      <c r="Y31" s="11"/>
      <c r="Z31" s="11"/>
      <c r="AA31" s="11"/>
      <c r="AB31" s="11"/>
      <c r="AC31" s="11" t="s">
        <v>16</v>
      </c>
      <c r="AD31" s="11"/>
      <c r="AE31" s="11" t="s">
        <v>6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spans="1:42" ht="17.25">
      <c r="A32" s="1" t="s">
        <v>0</v>
      </c>
      <c r="B32" s="1" t="s">
        <v>18</v>
      </c>
      <c r="C32" s="1" t="s">
        <v>2</v>
      </c>
      <c r="D32" s="1" t="s">
        <v>19</v>
      </c>
      <c r="E32" s="1" t="s">
        <v>20</v>
      </c>
      <c r="F32" s="1" t="s">
        <v>5</v>
      </c>
      <c r="G32" s="1" t="s">
        <v>24</v>
      </c>
      <c r="H32" s="1" t="s">
        <v>23</v>
      </c>
      <c r="K32" s="15"/>
      <c r="L32" s="19"/>
      <c r="M32" s="2"/>
      <c r="N32" s="45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38">
      <c r="A33" s="2" t="s">
        <v>13</v>
      </c>
      <c r="B33" s="2">
        <v>0</v>
      </c>
      <c r="C33" s="2">
        <v>3</v>
      </c>
      <c r="D33" s="2">
        <v>0</v>
      </c>
      <c r="E33" s="2">
        <v>3</v>
      </c>
      <c r="F33" s="2">
        <f>E33-B33</f>
        <v>3</v>
      </c>
      <c r="G33" s="2">
        <f>F33-C33</f>
        <v>0</v>
      </c>
      <c r="H33" s="26">
        <f>F33/C33</f>
        <v>1</v>
      </c>
      <c r="K33" s="124" t="s">
        <v>13</v>
      </c>
      <c r="L33" s="124"/>
      <c r="M33" s="124"/>
      <c r="N33" s="118" t="s">
        <v>14</v>
      </c>
      <c r="O33" s="118"/>
      <c r="P33" s="118"/>
      <c r="Q33" s="125" t="s">
        <v>15</v>
      </c>
      <c r="R33" s="125"/>
      <c r="S33" s="118" t="s">
        <v>14</v>
      </c>
      <c r="T33" s="118"/>
      <c r="U33" s="122" t="s">
        <v>16</v>
      </c>
      <c r="V33" s="122"/>
      <c r="W33" s="122"/>
      <c r="X33" s="120" t="s">
        <v>6</v>
      </c>
      <c r="Y33" s="120"/>
      <c r="Z33" s="120"/>
      <c r="AA33" s="122" t="s">
        <v>16</v>
      </c>
      <c r="AB33" s="122"/>
      <c r="AC33" s="120" t="s">
        <v>6</v>
      </c>
      <c r="AD33" s="120"/>
    </row>
    <row r="34" spans="1:38">
      <c r="A34" s="2" t="s">
        <v>14</v>
      </c>
      <c r="B34" s="2">
        <v>1</v>
      </c>
      <c r="C34" s="2">
        <v>5</v>
      </c>
      <c r="D34" s="2">
        <v>3</v>
      </c>
      <c r="E34" s="2">
        <v>10</v>
      </c>
      <c r="F34" s="2">
        <f t="shared" ref="F34:F37" si="10">E34-B34</f>
        <v>9</v>
      </c>
      <c r="G34" s="2">
        <f t="shared" ref="G34:G37" si="11">F34-C34</f>
        <v>4</v>
      </c>
      <c r="H34" s="26">
        <f t="shared" ref="H34:H37" si="12">F34/C34</f>
        <v>1.8</v>
      </c>
      <c r="K34" s="98">
        <v>0</v>
      </c>
      <c r="L34" s="99">
        <v>1</v>
      </c>
      <c r="M34" s="32"/>
      <c r="N34" s="32">
        <v>3</v>
      </c>
      <c r="O34" s="32"/>
      <c r="P34" s="32"/>
      <c r="Q34" s="32">
        <v>6</v>
      </c>
      <c r="R34" s="32"/>
      <c r="S34" s="32"/>
      <c r="T34" s="32">
        <v>9</v>
      </c>
      <c r="U34" s="32"/>
      <c r="V34" s="32"/>
      <c r="W34" s="32">
        <v>12</v>
      </c>
      <c r="X34" s="32"/>
      <c r="Y34" s="32"/>
      <c r="Z34" s="32"/>
      <c r="AA34" s="32"/>
      <c r="AB34" s="32"/>
      <c r="AC34" s="32">
        <v>18</v>
      </c>
      <c r="AD34" s="32"/>
      <c r="AE34" s="32">
        <v>20</v>
      </c>
      <c r="AF34" s="32"/>
      <c r="AG34" s="96" t="s">
        <v>64</v>
      </c>
      <c r="AH34" s="32"/>
      <c r="AI34" s="32"/>
      <c r="AJ34" s="11"/>
      <c r="AK34" s="11"/>
      <c r="AL34" s="11"/>
    </row>
    <row r="35" spans="1:38">
      <c r="A35" s="2" t="s">
        <v>15</v>
      </c>
      <c r="B35" s="2">
        <v>3</v>
      </c>
      <c r="C35" s="2">
        <v>2</v>
      </c>
      <c r="D35" s="2">
        <v>6</v>
      </c>
      <c r="E35" s="2">
        <v>8</v>
      </c>
      <c r="F35" s="2">
        <f t="shared" si="10"/>
        <v>5</v>
      </c>
      <c r="G35" s="2">
        <f t="shared" si="11"/>
        <v>3</v>
      </c>
      <c r="H35" s="26">
        <f t="shared" si="12"/>
        <v>2.5</v>
      </c>
      <c r="K35" s="45"/>
      <c r="L35" s="45"/>
      <c r="M35" s="46"/>
      <c r="N35" s="45"/>
      <c r="O35" s="46"/>
      <c r="P35" s="46"/>
      <c r="Q35" s="46"/>
      <c r="R35" s="46"/>
      <c r="S35" s="46"/>
      <c r="T35" s="45"/>
      <c r="U35" s="46"/>
      <c r="V35" s="46"/>
      <c r="W35" s="45"/>
      <c r="AE35" s="11"/>
      <c r="AF35" s="11"/>
      <c r="AG35" s="11"/>
      <c r="AH35" s="11"/>
      <c r="AI35" s="11"/>
      <c r="AJ35" s="11"/>
      <c r="AK35" s="11"/>
      <c r="AL35" s="11"/>
    </row>
    <row r="36" spans="1:38">
      <c r="A36" s="2" t="s">
        <v>16</v>
      </c>
      <c r="B36" s="2">
        <v>9</v>
      </c>
      <c r="C36" s="2">
        <v>5</v>
      </c>
      <c r="D36" s="2">
        <v>10</v>
      </c>
      <c r="E36" s="2">
        <v>18</v>
      </c>
      <c r="F36" s="2">
        <f t="shared" si="10"/>
        <v>9</v>
      </c>
      <c r="G36" s="2">
        <f t="shared" si="11"/>
        <v>4</v>
      </c>
      <c r="H36" s="26">
        <f t="shared" si="12"/>
        <v>1.8</v>
      </c>
      <c r="K36" s="11" t="s">
        <v>13</v>
      </c>
      <c r="L36" s="17" t="s">
        <v>14</v>
      </c>
      <c r="M36" s="11"/>
      <c r="N36" s="11" t="s">
        <v>15</v>
      </c>
      <c r="O36" s="11"/>
      <c r="P36" s="11"/>
      <c r="Q36" s="11"/>
      <c r="R36" s="11"/>
      <c r="S36" s="11"/>
      <c r="T36" s="11" t="s">
        <v>16</v>
      </c>
      <c r="U36" s="11"/>
      <c r="V36" s="11"/>
      <c r="W36" s="11" t="s">
        <v>6</v>
      </c>
      <c r="X36" s="11"/>
      <c r="Y36" s="11"/>
      <c r="Z36" s="11"/>
      <c r="AA36" s="11"/>
      <c r="AB36" s="11"/>
      <c r="AC36" s="11"/>
      <c r="AD36" s="11"/>
    </row>
    <row r="37" spans="1:38">
      <c r="A37" s="3" t="s">
        <v>6</v>
      </c>
      <c r="B37" s="3">
        <v>12</v>
      </c>
      <c r="C37" s="3">
        <v>5</v>
      </c>
      <c r="D37" s="3">
        <v>13</v>
      </c>
      <c r="E37" s="3">
        <v>20</v>
      </c>
      <c r="F37" s="3">
        <f t="shared" si="10"/>
        <v>8</v>
      </c>
      <c r="G37" s="3">
        <f t="shared" si="11"/>
        <v>3</v>
      </c>
      <c r="H37" s="27">
        <f t="shared" si="12"/>
        <v>1.6</v>
      </c>
      <c r="K37" s="60"/>
      <c r="L37" s="60" t="s">
        <v>14</v>
      </c>
      <c r="M37" s="59" t="s">
        <v>14</v>
      </c>
      <c r="N37" s="59" t="s">
        <v>15</v>
      </c>
      <c r="O37" s="59" t="s">
        <v>15</v>
      </c>
      <c r="P37" s="59" t="s">
        <v>15</v>
      </c>
      <c r="Q37" s="59" t="s">
        <v>14</v>
      </c>
      <c r="R37" s="59" t="s">
        <v>14</v>
      </c>
      <c r="S37" s="59"/>
      <c r="T37" s="59" t="s">
        <v>16</v>
      </c>
      <c r="U37" s="59"/>
      <c r="V37" s="59"/>
      <c r="W37" s="59" t="s">
        <v>6</v>
      </c>
      <c r="X37" s="59" t="s">
        <v>16</v>
      </c>
      <c r="Y37" s="59" t="s">
        <v>16</v>
      </c>
      <c r="Z37" s="59" t="s">
        <v>16</v>
      </c>
      <c r="AA37" s="59" t="s">
        <v>6</v>
      </c>
      <c r="AB37" s="59" t="s">
        <v>6</v>
      </c>
      <c r="AC37" s="59"/>
      <c r="AD37" s="59"/>
      <c r="AE37" s="56"/>
    </row>
    <row r="38" spans="1:38">
      <c r="A38" s="2"/>
      <c r="B38" s="2"/>
      <c r="C38" s="91">
        <f>AVERAGE(C33:C37)</f>
        <v>4</v>
      </c>
      <c r="D38" s="91"/>
      <c r="E38" s="91"/>
      <c r="F38" s="91">
        <f t="shared" ref="F38" si="13">AVERAGE(F33:F37)</f>
        <v>6.8</v>
      </c>
      <c r="G38" s="91">
        <f t="shared" ref="G38" si="14">AVERAGE(G33:G37)</f>
        <v>2.8</v>
      </c>
      <c r="H38" s="105">
        <f t="shared" ref="H38" si="15">AVERAGE(H33:H37)</f>
        <v>1.7399999999999998</v>
      </c>
      <c r="K38" s="60"/>
      <c r="L38" s="60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6"/>
    </row>
    <row r="39" spans="1:38">
      <c r="K39" s="58"/>
      <c r="L39" s="58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</row>
    <row r="40" spans="1:38" ht="17.25">
      <c r="K40" s="53"/>
      <c r="L40" s="53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</row>
    <row r="41" spans="1:38" ht="17.25">
      <c r="K41" s="53"/>
      <c r="L41" s="53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8" ht="17.25">
      <c r="F42" s="15"/>
      <c r="G42" s="19"/>
      <c r="K42" s="15"/>
      <c r="L42" s="19"/>
    </row>
    <row r="43" spans="1:38" ht="17.25">
      <c r="F43" s="15"/>
      <c r="G43" s="19"/>
      <c r="K43" s="15"/>
      <c r="L43" s="19"/>
    </row>
    <row r="44" spans="1:38" ht="17.25">
      <c r="F44" s="15"/>
      <c r="G44" s="19"/>
      <c r="K44" s="15"/>
      <c r="L44" s="19"/>
    </row>
    <row r="45" spans="1:38" ht="17.25">
      <c r="F45" s="15"/>
      <c r="G45" s="19"/>
      <c r="K45" s="15"/>
      <c r="L45" s="19"/>
    </row>
    <row r="46" spans="1:38" ht="17.25">
      <c r="F46" s="15"/>
      <c r="G46" s="19"/>
      <c r="K46" s="15"/>
      <c r="L46" s="19"/>
    </row>
    <row r="47" spans="1:38" ht="17.25">
      <c r="F47" s="15"/>
      <c r="G47" s="19"/>
      <c r="K47" s="15"/>
      <c r="L47" s="19"/>
    </row>
    <row r="48" spans="1:38" ht="17.25">
      <c r="F48" s="15"/>
      <c r="G48" s="19"/>
      <c r="K48" s="19"/>
      <c r="L48" s="19"/>
    </row>
    <row r="49" spans="6:11" ht="17.25">
      <c r="F49" s="15"/>
      <c r="G49" s="19"/>
      <c r="K49" s="19"/>
    </row>
    <row r="50" spans="6:11" ht="17.25">
      <c r="G50" s="19"/>
      <c r="K50" s="19"/>
    </row>
    <row r="51" spans="6:11" ht="17.25">
      <c r="K51" s="19"/>
    </row>
    <row r="52" spans="6:11" ht="17.25">
      <c r="K52" s="19"/>
    </row>
    <row r="53" spans="6:11" ht="17.25">
      <c r="K53" s="19"/>
    </row>
    <row r="54" spans="6:11" ht="17.25">
      <c r="K54" s="19"/>
    </row>
    <row r="55" spans="6:11" ht="17.25">
      <c r="K55" s="19"/>
    </row>
    <row r="56" spans="6:11" ht="17.25">
      <c r="K56" s="19"/>
    </row>
    <row r="57" spans="6:11" ht="17.25">
      <c r="K57" s="19"/>
    </row>
    <row r="58" spans="6:11" ht="17.25">
      <c r="K58" s="19"/>
    </row>
    <row r="59" spans="6:11" ht="17.25">
      <c r="K59" s="19"/>
    </row>
    <row r="60" spans="6:11" ht="17.25">
      <c r="K60" s="19"/>
    </row>
    <row r="61" spans="6:11" ht="17.25">
      <c r="K61" s="19"/>
    </row>
    <row r="62" spans="6:11" ht="17.25">
      <c r="K62" s="19"/>
    </row>
    <row r="63" spans="6:11" ht="17.25">
      <c r="K63" s="19"/>
    </row>
    <row r="64" spans="6:11" ht="17.25">
      <c r="K64" s="19"/>
    </row>
    <row r="65" spans="11:11" ht="17.25">
      <c r="K65" s="19"/>
    </row>
    <row r="66" spans="11:11" ht="17.25">
      <c r="K66" s="19"/>
    </row>
    <row r="67" spans="11:11" ht="17.25">
      <c r="K67" s="19"/>
    </row>
  </sheetData>
  <mergeCells count="16">
    <mergeCell ref="N9:P9"/>
    <mergeCell ref="W9:Y9"/>
    <mergeCell ref="K3:L3"/>
    <mergeCell ref="K33:M33"/>
    <mergeCell ref="N33:P33"/>
    <mergeCell ref="Q33:R33"/>
    <mergeCell ref="S33:T33"/>
    <mergeCell ref="U33:W33"/>
    <mergeCell ref="X33:Z33"/>
    <mergeCell ref="K13:L13"/>
    <mergeCell ref="AC33:AD33"/>
    <mergeCell ref="AA33:AB33"/>
    <mergeCell ref="AC22:AD22"/>
    <mergeCell ref="O13:P13"/>
    <mergeCell ref="U13:Y13"/>
    <mergeCell ref="Z13:AD13"/>
  </mergeCell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23"/>
  <sheetViews>
    <sheetView topLeftCell="A13" zoomScale="200" zoomScaleNormal="200" workbookViewId="0">
      <selection activeCell="B15" sqref="B15:B19"/>
    </sheetView>
  </sheetViews>
  <sheetFormatPr baseColWidth="10" defaultRowHeight="15"/>
  <cols>
    <col min="1" max="3" width="8.7109375" customWidth="1"/>
    <col min="4" max="9" width="5.7109375" customWidth="1"/>
    <col min="11" max="44" width="3.28515625" customWidth="1"/>
  </cols>
  <sheetData>
    <row r="1" spans="1:42">
      <c r="A1" s="6" t="s">
        <v>29</v>
      </c>
      <c r="B1" s="6"/>
      <c r="C1" s="6"/>
      <c r="D1" s="6"/>
      <c r="E1" s="6"/>
      <c r="F1" s="6"/>
      <c r="G1" s="6"/>
      <c r="H1" s="6"/>
      <c r="I1" s="6"/>
      <c r="O1" t="s">
        <v>7</v>
      </c>
      <c r="U1" t="s">
        <v>8</v>
      </c>
      <c r="Z1" t="s">
        <v>11</v>
      </c>
      <c r="AH1" t="s">
        <v>9</v>
      </c>
      <c r="AL1" t="s">
        <v>10</v>
      </c>
    </row>
    <row r="2" spans="1:42">
      <c r="A2" s="1" t="s">
        <v>0</v>
      </c>
      <c r="B2" s="1" t="s">
        <v>31</v>
      </c>
      <c r="C2" s="1" t="s">
        <v>32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24</v>
      </c>
      <c r="I2" s="1" t="s">
        <v>23</v>
      </c>
    </row>
    <row r="3" spans="1:42">
      <c r="A3" s="2" t="s">
        <v>7</v>
      </c>
      <c r="B3" s="2">
        <v>4</v>
      </c>
      <c r="C3" s="2">
        <v>1</v>
      </c>
      <c r="D3" s="2">
        <v>3</v>
      </c>
      <c r="E3" s="2">
        <v>1</v>
      </c>
      <c r="F3" s="2">
        <v>4</v>
      </c>
      <c r="G3" s="2">
        <f>F3-C3</f>
        <v>3</v>
      </c>
      <c r="H3" s="2">
        <f>G3-D3</f>
        <v>0</v>
      </c>
      <c r="I3" s="26">
        <f>G3/D3</f>
        <v>1</v>
      </c>
      <c r="K3" s="5"/>
      <c r="L3" s="116" t="s">
        <v>7</v>
      </c>
      <c r="M3" s="116"/>
      <c r="N3" s="116"/>
      <c r="O3" s="117" t="s">
        <v>8</v>
      </c>
      <c r="P3" s="117"/>
      <c r="Q3" s="117"/>
      <c r="R3" s="117"/>
      <c r="S3" s="117"/>
      <c r="T3" s="117"/>
      <c r="U3" s="119" t="s">
        <v>11</v>
      </c>
      <c r="V3" s="119"/>
      <c r="W3" s="119"/>
      <c r="X3" s="119"/>
      <c r="Y3" s="119"/>
      <c r="Z3" s="120" t="s">
        <v>9</v>
      </c>
      <c r="AA3" s="120"/>
      <c r="AB3" s="120"/>
      <c r="AC3" s="120"/>
      <c r="AD3" s="120"/>
      <c r="AE3" s="120"/>
      <c r="AF3" s="120"/>
      <c r="AG3" s="120"/>
      <c r="AH3" s="118" t="s">
        <v>10</v>
      </c>
      <c r="AI3" s="118"/>
      <c r="AJ3" s="118"/>
      <c r="AK3" s="118"/>
    </row>
    <row r="4" spans="1:42">
      <c r="A4" s="2" t="s">
        <v>8</v>
      </c>
      <c r="B4" s="2">
        <v>1</v>
      </c>
      <c r="C4" s="2">
        <v>3</v>
      </c>
      <c r="D4" s="2">
        <v>6</v>
      </c>
      <c r="E4" s="2">
        <v>4</v>
      </c>
      <c r="F4" s="2">
        <v>10</v>
      </c>
      <c r="G4" s="2">
        <f t="shared" ref="G4:G7" si="0">F4-C4</f>
        <v>7</v>
      </c>
      <c r="H4" s="2">
        <f t="shared" ref="H4:H7" si="1">G4-D4</f>
        <v>1</v>
      </c>
      <c r="I4" s="26">
        <f t="shared" ref="I4:I7" si="2">G4/D4</f>
        <v>1.1666666666666667</v>
      </c>
      <c r="K4" s="32">
        <v>0</v>
      </c>
      <c r="L4" s="32">
        <v>1</v>
      </c>
      <c r="M4" s="32"/>
      <c r="N4" s="32">
        <v>3</v>
      </c>
      <c r="O4" s="32">
        <v>4</v>
      </c>
      <c r="P4" s="32">
        <v>5</v>
      </c>
      <c r="Q4" s="32"/>
      <c r="R4" s="32">
        <v>7</v>
      </c>
      <c r="S4" s="32">
        <v>8</v>
      </c>
      <c r="T4" s="32"/>
      <c r="U4" s="32">
        <v>10</v>
      </c>
      <c r="V4" s="32"/>
      <c r="W4" s="32"/>
      <c r="X4" s="32"/>
      <c r="Y4" s="32"/>
      <c r="Z4" s="32">
        <v>15</v>
      </c>
      <c r="AA4" s="32"/>
      <c r="AB4" s="32"/>
      <c r="AC4" s="32"/>
      <c r="AD4" s="32"/>
      <c r="AE4" s="32"/>
      <c r="AF4" s="32"/>
      <c r="AG4" s="32"/>
      <c r="AH4" s="32">
        <v>23</v>
      </c>
      <c r="AI4" s="32"/>
      <c r="AJ4" s="32"/>
      <c r="AK4" s="32"/>
      <c r="AL4" s="32">
        <v>27</v>
      </c>
      <c r="AM4" s="96"/>
      <c r="AN4" s="96" t="s">
        <v>64</v>
      </c>
      <c r="AO4" s="96"/>
      <c r="AP4" s="96"/>
    </row>
    <row r="5" spans="1:42">
      <c r="A5" s="2" t="s">
        <v>9</v>
      </c>
      <c r="B5" s="2">
        <v>2</v>
      </c>
      <c r="C5" s="2">
        <v>5</v>
      </c>
      <c r="D5" s="2">
        <v>8</v>
      </c>
      <c r="E5" s="2">
        <v>15</v>
      </c>
      <c r="F5" s="2">
        <v>23</v>
      </c>
      <c r="G5" s="2">
        <f t="shared" si="0"/>
        <v>18</v>
      </c>
      <c r="H5" s="2">
        <f t="shared" si="1"/>
        <v>10</v>
      </c>
      <c r="I5" s="26">
        <f t="shared" si="2"/>
        <v>2.25</v>
      </c>
      <c r="L5" s="39"/>
      <c r="M5" s="38"/>
      <c r="N5" s="37"/>
      <c r="O5" s="38"/>
      <c r="P5" s="37"/>
      <c r="Q5" s="38"/>
      <c r="R5" s="37"/>
      <c r="S5" s="37"/>
      <c r="T5" s="39"/>
    </row>
    <row r="6" spans="1:42">
      <c r="A6" s="2" t="s">
        <v>10</v>
      </c>
      <c r="B6" s="2">
        <v>3</v>
      </c>
      <c r="C6" s="2">
        <v>7</v>
      </c>
      <c r="D6" s="2">
        <v>4</v>
      </c>
      <c r="E6" s="2">
        <v>23</v>
      </c>
      <c r="F6" s="2">
        <v>27</v>
      </c>
      <c r="G6" s="2">
        <f t="shared" si="0"/>
        <v>20</v>
      </c>
      <c r="H6" s="2">
        <f t="shared" si="1"/>
        <v>16</v>
      </c>
      <c r="I6" s="26">
        <f t="shared" si="2"/>
        <v>5</v>
      </c>
      <c r="L6" t="s">
        <v>7</v>
      </c>
      <c r="N6" t="s">
        <v>8</v>
      </c>
      <c r="P6" t="s">
        <v>9</v>
      </c>
      <c r="R6" t="s">
        <v>10</v>
      </c>
      <c r="S6" t="s">
        <v>11</v>
      </c>
    </row>
    <row r="7" spans="1:42">
      <c r="A7" s="3" t="s">
        <v>11</v>
      </c>
      <c r="B7" s="3">
        <v>0</v>
      </c>
      <c r="C7" s="3">
        <v>8</v>
      </c>
      <c r="D7" s="3">
        <v>5</v>
      </c>
      <c r="E7" s="3">
        <v>10</v>
      </c>
      <c r="F7" s="3">
        <v>15</v>
      </c>
      <c r="G7" s="3">
        <f t="shared" si="0"/>
        <v>7</v>
      </c>
      <c r="H7" s="3">
        <f t="shared" si="1"/>
        <v>2</v>
      </c>
      <c r="I7" s="27">
        <f t="shared" si="2"/>
        <v>1.4</v>
      </c>
      <c r="K7" s="46"/>
      <c r="L7" s="46"/>
      <c r="M7" s="46"/>
      <c r="N7" s="46" t="s">
        <v>8</v>
      </c>
      <c r="O7" s="46" t="s">
        <v>8</v>
      </c>
      <c r="P7" s="46" t="s">
        <v>9</v>
      </c>
      <c r="Q7" s="46" t="s">
        <v>9</v>
      </c>
      <c r="R7" s="46" t="s">
        <v>9</v>
      </c>
      <c r="S7" s="46" t="s">
        <v>9</v>
      </c>
      <c r="T7" s="46" t="s">
        <v>9</v>
      </c>
      <c r="U7" s="46" t="s">
        <v>9</v>
      </c>
      <c r="V7" s="46" t="s">
        <v>9</v>
      </c>
      <c r="W7" s="46" t="s">
        <v>9</v>
      </c>
      <c r="X7" s="46" t="s">
        <v>9</v>
      </c>
      <c r="Y7" s="61" t="s">
        <v>9</v>
      </c>
      <c r="Z7" s="46" t="s">
        <v>10</v>
      </c>
      <c r="AA7" s="46" t="s">
        <v>10</v>
      </c>
      <c r="AB7" s="46" t="s">
        <v>10</v>
      </c>
      <c r="AC7" s="46" t="s">
        <v>10</v>
      </c>
      <c r="AD7" s="46" t="s">
        <v>10</v>
      </c>
      <c r="AE7" s="46" t="s">
        <v>10</v>
      </c>
      <c r="AF7" s="46" t="s">
        <v>10</v>
      </c>
      <c r="AG7" s="46" t="s">
        <v>10</v>
      </c>
    </row>
    <row r="8" spans="1:42">
      <c r="D8" s="91">
        <f>AVERAGE(D3:D7)</f>
        <v>5.2</v>
      </c>
      <c r="E8" s="92"/>
      <c r="F8" s="92"/>
      <c r="G8" s="91">
        <f t="shared" ref="G8:I8" si="3">AVERAGE(G3:G7)</f>
        <v>11</v>
      </c>
      <c r="H8" s="91">
        <f t="shared" si="3"/>
        <v>5.8</v>
      </c>
      <c r="I8" s="105">
        <f t="shared" si="3"/>
        <v>2.1633333333333336</v>
      </c>
      <c r="K8" s="46"/>
      <c r="L8" s="46"/>
      <c r="M8" s="46"/>
      <c r="N8" s="46"/>
      <c r="O8" s="46"/>
      <c r="P8" s="46"/>
      <c r="Q8" s="46"/>
      <c r="R8" s="46" t="s">
        <v>10</v>
      </c>
      <c r="S8" s="46" t="s">
        <v>10</v>
      </c>
      <c r="T8" s="46" t="s">
        <v>10</v>
      </c>
      <c r="U8" s="46" t="s">
        <v>10</v>
      </c>
      <c r="V8" s="46" t="s">
        <v>10</v>
      </c>
      <c r="W8" s="46" t="s">
        <v>10</v>
      </c>
      <c r="X8" s="46" t="s">
        <v>10</v>
      </c>
      <c r="Y8" s="46" t="s">
        <v>10</v>
      </c>
      <c r="Z8" s="46"/>
      <c r="AA8" s="46"/>
      <c r="AB8" s="46"/>
    </row>
    <row r="9" spans="1:42">
      <c r="K9" s="46"/>
      <c r="L9" s="46"/>
      <c r="M9" s="46"/>
      <c r="N9" s="46"/>
      <c r="O9" s="46"/>
      <c r="P9" s="46"/>
      <c r="Q9" s="46"/>
      <c r="R9" s="46"/>
      <c r="S9" s="46" t="s">
        <v>11</v>
      </c>
      <c r="T9" s="46" t="s">
        <v>11</v>
      </c>
      <c r="U9" s="61" t="s">
        <v>11</v>
      </c>
      <c r="V9" s="46"/>
      <c r="W9" s="46"/>
      <c r="X9" s="46"/>
      <c r="Y9" s="46"/>
      <c r="Z9" s="46"/>
      <c r="AA9" s="46"/>
      <c r="AB9" s="46"/>
    </row>
    <row r="10" spans="1:42">
      <c r="C10" s="2"/>
      <c r="K10" s="46"/>
      <c r="L10" s="46"/>
      <c r="M10" s="46"/>
      <c r="N10" s="46"/>
      <c r="O10" s="46"/>
      <c r="P10" s="46"/>
      <c r="Q10" s="46"/>
      <c r="R10" s="61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 spans="1:42">
      <c r="C11" s="2"/>
    </row>
    <row r="12" spans="1:42" ht="17.25">
      <c r="C12" s="2"/>
      <c r="K12" s="15"/>
    </row>
    <row r="13" spans="1:42" ht="17.25">
      <c r="A13" s="6" t="s">
        <v>30</v>
      </c>
      <c r="B13" s="6"/>
      <c r="C13" s="6"/>
      <c r="D13" s="6"/>
      <c r="E13" s="6"/>
      <c r="F13" s="6"/>
      <c r="G13" s="6"/>
      <c r="H13" s="6"/>
      <c r="I13" s="6"/>
      <c r="K13" s="15"/>
      <c r="X13" t="s">
        <v>11</v>
      </c>
      <c r="Y13" t="s">
        <v>8</v>
      </c>
      <c r="AG13" t="s">
        <v>9</v>
      </c>
      <c r="AK13" t="s">
        <v>10</v>
      </c>
      <c r="AL13" t="s">
        <v>7</v>
      </c>
    </row>
    <row r="14" spans="1:42" ht="17.25">
      <c r="A14" s="1" t="s">
        <v>0</v>
      </c>
      <c r="B14" s="1" t="s">
        <v>31</v>
      </c>
      <c r="C14" s="1" t="s">
        <v>32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24</v>
      </c>
      <c r="I14" s="1" t="s">
        <v>23</v>
      </c>
      <c r="K14" s="15"/>
    </row>
    <row r="15" spans="1:42">
      <c r="A15" s="2" t="s">
        <v>7</v>
      </c>
      <c r="B15" s="2">
        <v>4</v>
      </c>
      <c r="C15" s="2">
        <v>1</v>
      </c>
      <c r="D15" s="2">
        <v>3</v>
      </c>
      <c r="E15" s="2">
        <v>1</v>
      </c>
      <c r="F15" s="2">
        <v>27</v>
      </c>
      <c r="G15" s="2">
        <f>F15-C15</f>
        <v>26</v>
      </c>
      <c r="H15" s="2">
        <f>G15-D15</f>
        <v>23</v>
      </c>
      <c r="I15" s="26">
        <f>G15/D15</f>
        <v>8.6666666666666661</v>
      </c>
      <c r="K15" s="5"/>
      <c r="L15" s="116" t="s">
        <v>7</v>
      </c>
      <c r="M15" s="116"/>
      <c r="N15" s="117" t="s">
        <v>8</v>
      </c>
      <c r="O15" s="117"/>
      <c r="P15" s="117"/>
      <c r="Q15" s="117"/>
      <c r="R15" s="117"/>
      <c r="S15" s="119" t="s">
        <v>11</v>
      </c>
      <c r="T15" s="119"/>
      <c r="U15" s="119"/>
      <c r="V15" s="119"/>
      <c r="W15" s="119"/>
      <c r="X15" s="7" t="s">
        <v>8</v>
      </c>
      <c r="Y15" s="120" t="s">
        <v>9</v>
      </c>
      <c r="Z15" s="120"/>
      <c r="AA15" s="120"/>
      <c r="AB15" s="120"/>
      <c r="AC15" s="120"/>
      <c r="AD15" s="120"/>
      <c r="AE15" s="120"/>
      <c r="AF15" s="120"/>
      <c r="AG15" s="118" t="s">
        <v>10</v>
      </c>
      <c r="AH15" s="118"/>
      <c r="AI15" s="118"/>
      <c r="AJ15" s="118"/>
      <c r="AK15" s="4" t="s">
        <v>7</v>
      </c>
    </row>
    <row r="16" spans="1:42">
      <c r="A16" s="2" t="s">
        <v>8</v>
      </c>
      <c r="B16" s="2">
        <v>1</v>
      </c>
      <c r="C16" s="2">
        <v>3</v>
      </c>
      <c r="D16" s="2">
        <v>6</v>
      </c>
      <c r="E16" s="2">
        <v>3</v>
      </c>
      <c r="F16" s="2">
        <v>14</v>
      </c>
      <c r="G16" s="2">
        <f t="shared" ref="G16:G19" si="4">F16-C16</f>
        <v>11</v>
      </c>
      <c r="H16" s="2">
        <f t="shared" ref="H16:H19" si="5">G16-D16</f>
        <v>5</v>
      </c>
      <c r="I16" s="26">
        <f t="shared" ref="I16:I19" si="6">G16/D16</f>
        <v>1.8333333333333333</v>
      </c>
      <c r="K16" s="32">
        <v>0</v>
      </c>
      <c r="L16" s="32">
        <v>1</v>
      </c>
      <c r="M16" s="32"/>
      <c r="N16" s="32">
        <v>3</v>
      </c>
      <c r="O16" s="32"/>
      <c r="P16" s="32">
        <v>5</v>
      </c>
      <c r="Q16" s="32"/>
      <c r="R16" s="32">
        <v>7</v>
      </c>
      <c r="S16" s="32">
        <v>8</v>
      </c>
      <c r="T16" s="32"/>
      <c r="U16" s="32"/>
      <c r="V16" s="32"/>
      <c r="W16" s="32"/>
      <c r="X16" s="32">
        <v>13</v>
      </c>
      <c r="Y16" s="32">
        <v>14</v>
      </c>
      <c r="Z16" s="32"/>
      <c r="AA16" s="32"/>
      <c r="AB16" s="32"/>
      <c r="AC16" s="32"/>
      <c r="AD16" s="32"/>
      <c r="AE16" s="32"/>
      <c r="AF16" s="32"/>
      <c r="AG16" s="32">
        <v>22</v>
      </c>
      <c r="AH16" s="32"/>
      <c r="AI16" s="32"/>
      <c r="AJ16" s="32"/>
      <c r="AK16" s="32">
        <v>26</v>
      </c>
      <c r="AL16" s="32">
        <v>27</v>
      </c>
      <c r="AM16" s="96"/>
      <c r="AN16" s="96" t="s">
        <v>64</v>
      </c>
      <c r="AO16" s="96"/>
      <c r="AP16" s="96"/>
    </row>
    <row r="17" spans="1:37">
      <c r="A17" s="2" t="s">
        <v>9</v>
      </c>
      <c r="B17" s="2">
        <v>2</v>
      </c>
      <c r="C17" s="2">
        <v>5</v>
      </c>
      <c r="D17" s="2">
        <v>8</v>
      </c>
      <c r="E17" s="2">
        <v>14</v>
      </c>
      <c r="F17" s="2">
        <v>22</v>
      </c>
      <c r="G17" s="2">
        <f t="shared" si="4"/>
        <v>17</v>
      </c>
      <c r="H17" s="2">
        <f t="shared" si="5"/>
        <v>9</v>
      </c>
      <c r="I17" s="26">
        <f t="shared" si="6"/>
        <v>2.125</v>
      </c>
      <c r="L17" s="39"/>
      <c r="M17" s="38"/>
      <c r="N17" s="37"/>
      <c r="O17" s="38"/>
      <c r="P17" s="37"/>
      <c r="Q17" s="38"/>
      <c r="R17" s="37"/>
      <c r="S17" s="37"/>
    </row>
    <row r="18" spans="1:37">
      <c r="A18" s="2" t="s">
        <v>10</v>
      </c>
      <c r="B18" s="2">
        <v>3</v>
      </c>
      <c r="C18" s="2">
        <v>7</v>
      </c>
      <c r="D18" s="2">
        <v>4</v>
      </c>
      <c r="E18" s="2">
        <v>22</v>
      </c>
      <c r="F18" s="2">
        <v>26</v>
      </c>
      <c r="G18" s="2">
        <f t="shared" si="4"/>
        <v>19</v>
      </c>
      <c r="H18" s="2">
        <f t="shared" si="5"/>
        <v>15</v>
      </c>
      <c r="I18" s="26">
        <f t="shared" si="6"/>
        <v>4.75</v>
      </c>
      <c r="L18" t="s">
        <v>7</v>
      </c>
      <c r="N18" t="s">
        <v>8</v>
      </c>
      <c r="P18" t="s">
        <v>9</v>
      </c>
      <c r="R18" t="s">
        <v>10</v>
      </c>
      <c r="S18" t="s">
        <v>11</v>
      </c>
    </row>
    <row r="19" spans="1:37" ht="17.25">
      <c r="A19" s="3" t="s">
        <v>11</v>
      </c>
      <c r="B19" s="3">
        <v>0</v>
      </c>
      <c r="C19" s="3">
        <v>8</v>
      </c>
      <c r="D19" s="3">
        <v>5</v>
      </c>
      <c r="E19" s="3">
        <v>8</v>
      </c>
      <c r="F19" s="3">
        <v>13</v>
      </c>
      <c r="G19" s="3">
        <f t="shared" si="4"/>
        <v>5</v>
      </c>
      <c r="H19" s="3">
        <f t="shared" si="5"/>
        <v>0</v>
      </c>
      <c r="I19" s="27">
        <f t="shared" si="6"/>
        <v>1</v>
      </c>
      <c r="K19" s="53"/>
      <c r="L19" s="46"/>
      <c r="M19" s="46"/>
      <c r="N19" s="46" t="s">
        <v>7</v>
      </c>
      <c r="O19" s="46" t="s">
        <v>7</v>
      </c>
      <c r="P19" s="46" t="s">
        <v>7</v>
      </c>
      <c r="Q19" s="46" t="s">
        <v>7</v>
      </c>
      <c r="R19" s="46" t="s">
        <v>7</v>
      </c>
      <c r="S19" s="46" t="s">
        <v>7</v>
      </c>
      <c r="T19" s="46" t="s">
        <v>7</v>
      </c>
      <c r="U19" s="46" t="s">
        <v>7</v>
      </c>
      <c r="V19" s="46" t="s">
        <v>7</v>
      </c>
      <c r="W19" s="46" t="s">
        <v>7</v>
      </c>
      <c r="X19" s="46" t="s">
        <v>7</v>
      </c>
      <c r="Y19" s="46" t="s">
        <v>7</v>
      </c>
      <c r="Z19" s="46" t="s">
        <v>7</v>
      </c>
      <c r="AA19" s="46" t="s">
        <v>7</v>
      </c>
      <c r="AB19" s="46" t="s">
        <v>7</v>
      </c>
      <c r="AC19" s="46" t="s">
        <v>7</v>
      </c>
      <c r="AD19" s="46" t="s">
        <v>7</v>
      </c>
      <c r="AE19" s="46" t="s">
        <v>7</v>
      </c>
      <c r="AF19" s="46" t="s">
        <v>7</v>
      </c>
      <c r="AG19" s="46" t="s">
        <v>7</v>
      </c>
      <c r="AH19" s="46" t="s">
        <v>7</v>
      </c>
      <c r="AI19" s="46" t="s">
        <v>7</v>
      </c>
      <c r="AJ19" s="46" t="s">
        <v>7</v>
      </c>
      <c r="AK19" s="46"/>
    </row>
    <row r="20" spans="1:37" ht="17.25">
      <c r="D20" s="91">
        <f>AVERAGE(D15:D19)</f>
        <v>5.2</v>
      </c>
      <c r="E20" s="92"/>
      <c r="F20" s="92"/>
      <c r="G20" s="91">
        <f t="shared" ref="G20" si="7">AVERAGE(G15:G19)</f>
        <v>15.6</v>
      </c>
      <c r="H20" s="91">
        <f t="shared" ref="H20" si="8">AVERAGE(H15:H19)</f>
        <v>10.4</v>
      </c>
      <c r="I20" s="105">
        <f t="shared" ref="I20" si="9">AVERAGE(I15:I19)</f>
        <v>3.6749999999999998</v>
      </c>
      <c r="K20" s="53"/>
      <c r="L20" s="46"/>
      <c r="M20" s="46"/>
      <c r="N20" s="46"/>
      <c r="O20" s="46"/>
      <c r="P20" s="46" t="s">
        <v>9</v>
      </c>
      <c r="Q20" s="46" t="s">
        <v>9</v>
      </c>
      <c r="R20" s="46" t="s">
        <v>9</v>
      </c>
      <c r="S20" s="46" t="s">
        <v>9</v>
      </c>
      <c r="T20" s="46" t="s">
        <v>9</v>
      </c>
      <c r="U20" s="46" t="s">
        <v>9</v>
      </c>
      <c r="V20" s="46" t="s">
        <v>9</v>
      </c>
      <c r="W20" s="46" t="s">
        <v>9</v>
      </c>
      <c r="X20" s="61" t="s">
        <v>9</v>
      </c>
      <c r="Y20" s="46" t="s">
        <v>10</v>
      </c>
      <c r="Z20" s="46" t="s">
        <v>10</v>
      </c>
      <c r="AA20" s="46" t="s">
        <v>10</v>
      </c>
      <c r="AB20" s="46" t="s">
        <v>10</v>
      </c>
      <c r="AC20" s="46" t="s">
        <v>10</v>
      </c>
      <c r="AD20" s="46" t="s">
        <v>10</v>
      </c>
      <c r="AE20" s="46" t="s">
        <v>10</v>
      </c>
      <c r="AF20" s="61" t="s">
        <v>10</v>
      </c>
      <c r="AG20" s="46"/>
      <c r="AH20" s="46"/>
      <c r="AI20" s="46"/>
      <c r="AJ20" s="46"/>
      <c r="AK20" s="46"/>
    </row>
    <row r="21" spans="1:37" ht="17.25">
      <c r="K21" s="53"/>
      <c r="L21" s="46"/>
      <c r="M21" s="46"/>
      <c r="N21" s="46"/>
      <c r="O21" s="46"/>
      <c r="P21" s="46"/>
      <c r="Q21" s="46"/>
      <c r="R21" s="46" t="s">
        <v>10</v>
      </c>
      <c r="S21" s="46" t="s">
        <v>10</v>
      </c>
      <c r="T21" s="46" t="s">
        <v>10</v>
      </c>
      <c r="U21" s="46" t="s">
        <v>10</v>
      </c>
      <c r="V21" s="46" t="s">
        <v>10</v>
      </c>
      <c r="W21" s="46" t="s">
        <v>10</v>
      </c>
      <c r="X21" s="46" t="s">
        <v>10</v>
      </c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</row>
    <row r="22" spans="1:37" ht="17.25">
      <c r="K22" s="53"/>
      <c r="L22" s="46"/>
      <c r="M22" s="46"/>
      <c r="N22" s="46"/>
      <c r="O22" s="46"/>
      <c r="P22" s="46"/>
      <c r="Q22" s="46"/>
      <c r="R22" s="46"/>
      <c r="S22" s="46" t="s">
        <v>8</v>
      </c>
      <c r="T22" s="46" t="s">
        <v>8</v>
      </c>
      <c r="U22" s="46" t="s">
        <v>8</v>
      </c>
      <c r="V22" s="46" t="s">
        <v>8</v>
      </c>
      <c r="W22" s="61" t="s">
        <v>8</v>
      </c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</row>
    <row r="23" spans="1:37"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</row>
  </sheetData>
  <mergeCells count="10">
    <mergeCell ref="Y15:AF15"/>
    <mergeCell ref="AG15:AJ15"/>
    <mergeCell ref="L15:M15"/>
    <mergeCell ref="N15:R15"/>
    <mergeCell ref="S15:W15"/>
    <mergeCell ref="Z3:AG3"/>
    <mergeCell ref="L3:N3"/>
    <mergeCell ref="O3:T3"/>
    <mergeCell ref="AH3:AK3"/>
    <mergeCell ref="U3:Y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88EB-41AD-4824-9D9A-E1F46EE6DD8D}">
  <dimension ref="A1:AO48"/>
  <sheetViews>
    <sheetView topLeftCell="A19" zoomScale="170" zoomScaleNormal="170" workbookViewId="0">
      <selection activeCell="P35" sqref="P35"/>
    </sheetView>
  </sheetViews>
  <sheetFormatPr baseColWidth="10" defaultRowHeight="15"/>
  <cols>
    <col min="1" max="3" width="8.7109375" customWidth="1"/>
    <col min="4" max="6" width="5.7109375" customWidth="1"/>
    <col min="7" max="7" width="6.28515625" customWidth="1"/>
    <col min="8" max="8" width="6" customWidth="1"/>
    <col min="9" max="9" width="5.7109375" customWidth="1"/>
    <col min="10" max="10" width="15.140625" style="101" customWidth="1"/>
    <col min="11" max="46" width="2.7109375" customWidth="1"/>
  </cols>
  <sheetData>
    <row r="1" spans="1:35">
      <c r="A1" s="78" t="s">
        <v>70</v>
      </c>
      <c r="B1" s="78"/>
      <c r="C1" s="78"/>
      <c r="D1" s="78"/>
      <c r="E1" s="78"/>
    </row>
    <row r="2" spans="1:35">
      <c r="A2" s="1" t="s">
        <v>0</v>
      </c>
      <c r="B2" s="1" t="s">
        <v>18</v>
      </c>
      <c r="C2" s="1" t="s">
        <v>2</v>
      </c>
      <c r="D2" s="1" t="s">
        <v>19</v>
      </c>
      <c r="E2" s="1" t="s">
        <v>20</v>
      </c>
      <c r="F2" s="1" t="s">
        <v>5</v>
      </c>
      <c r="G2" s="1" t="s">
        <v>24</v>
      </c>
      <c r="H2" s="1" t="s">
        <v>23</v>
      </c>
      <c r="L2" t="s">
        <v>13</v>
      </c>
      <c r="M2" t="s">
        <v>14</v>
      </c>
      <c r="O2" t="s">
        <v>15</v>
      </c>
      <c r="U2" t="s">
        <v>16</v>
      </c>
      <c r="X2" t="s">
        <v>6</v>
      </c>
    </row>
    <row r="3" spans="1:35">
      <c r="A3" s="2" t="s">
        <v>13</v>
      </c>
      <c r="B3" s="2">
        <v>0</v>
      </c>
      <c r="C3" s="2">
        <v>3</v>
      </c>
      <c r="D3" s="2">
        <v>0</v>
      </c>
      <c r="E3" s="2">
        <v>7</v>
      </c>
      <c r="F3" s="2">
        <f>E3-B3</f>
        <v>7</v>
      </c>
      <c r="G3" s="2">
        <f>F3-C3</f>
        <v>4</v>
      </c>
      <c r="H3" s="26">
        <f>F3/C3</f>
        <v>2.3333333333333335</v>
      </c>
    </row>
    <row r="4" spans="1:35">
      <c r="A4" s="2" t="s">
        <v>14</v>
      </c>
      <c r="B4" s="2">
        <v>1</v>
      </c>
      <c r="C4" s="2">
        <v>5</v>
      </c>
      <c r="D4" s="2">
        <v>1</v>
      </c>
      <c r="E4" s="2">
        <v>16</v>
      </c>
      <c r="F4" s="2">
        <f t="shared" ref="F4:G7" si="0">E4-B4</f>
        <v>15</v>
      </c>
      <c r="G4" s="2">
        <f t="shared" si="0"/>
        <v>10</v>
      </c>
      <c r="H4" s="26">
        <f t="shared" ref="H4:H7" si="1">F4/C4</f>
        <v>3</v>
      </c>
      <c r="I4" s="2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 spans="1:35">
      <c r="A5" s="2" t="s">
        <v>15</v>
      </c>
      <c r="B5" s="2">
        <v>3</v>
      </c>
      <c r="C5" s="2">
        <v>2</v>
      </c>
      <c r="D5" s="2">
        <v>3</v>
      </c>
      <c r="E5" s="2">
        <v>8</v>
      </c>
      <c r="F5" s="2">
        <f t="shared" si="0"/>
        <v>5</v>
      </c>
      <c r="G5" s="2">
        <f t="shared" si="0"/>
        <v>3</v>
      </c>
      <c r="H5" s="26">
        <f t="shared" si="1"/>
        <v>2.5</v>
      </c>
      <c r="I5" s="26"/>
      <c r="J5" s="101" t="s">
        <v>67</v>
      </c>
      <c r="K5" s="36"/>
      <c r="L5" s="2" t="s">
        <v>13</v>
      </c>
      <c r="M5" s="2" t="s">
        <v>14</v>
      </c>
      <c r="N5" s="2"/>
      <c r="O5" s="2" t="s">
        <v>15</v>
      </c>
      <c r="P5" s="2"/>
      <c r="Q5" s="2"/>
      <c r="R5" s="2"/>
      <c r="S5" s="2"/>
      <c r="T5" s="102"/>
      <c r="U5" s="2" t="s">
        <v>16</v>
      </c>
      <c r="V5" s="2"/>
      <c r="W5" s="2"/>
      <c r="X5" s="2" t="s">
        <v>6</v>
      </c>
      <c r="Y5" s="2"/>
      <c r="Z5" s="2"/>
      <c r="AA5" s="2"/>
      <c r="AB5" s="2"/>
      <c r="AC5" s="2"/>
      <c r="AD5" s="2"/>
      <c r="AE5" s="2"/>
    </row>
    <row r="6" spans="1:35">
      <c r="A6" s="2" t="s">
        <v>16</v>
      </c>
      <c r="B6" s="2">
        <v>9</v>
      </c>
      <c r="C6" s="2">
        <v>5</v>
      </c>
      <c r="D6" s="2">
        <v>9</v>
      </c>
      <c r="E6" s="2">
        <v>18</v>
      </c>
      <c r="F6" s="2">
        <f t="shared" si="0"/>
        <v>9</v>
      </c>
      <c r="G6" s="2">
        <f t="shared" si="0"/>
        <v>4</v>
      </c>
      <c r="H6" s="26">
        <f t="shared" si="1"/>
        <v>1.8</v>
      </c>
      <c r="I6" s="26"/>
      <c r="J6" s="101" t="s">
        <v>68</v>
      </c>
      <c r="L6" s="102"/>
      <c r="M6" s="2" t="s">
        <v>13</v>
      </c>
      <c r="N6" s="2" t="s">
        <v>14</v>
      </c>
      <c r="O6" s="2"/>
      <c r="P6" s="2" t="s">
        <v>15</v>
      </c>
      <c r="R6" s="2"/>
      <c r="S6" s="2"/>
      <c r="T6" s="2"/>
      <c r="U6" s="2"/>
      <c r="V6" s="2" t="s">
        <v>16</v>
      </c>
      <c r="W6" s="2"/>
      <c r="X6" s="2"/>
      <c r="Y6" s="2" t="s">
        <v>6</v>
      </c>
      <c r="Z6" s="2"/>
      <c r="AA6" s="2"/>
      <c r="AB6" s="2"/>
      <c r="AC6" s="2"/>
      <c r="AD6" s="2"/>
      <c r="AE6" s="2"/>
    </row>
    <row r="7" spans="1:35">
      <c r="A7" s="3" t="s">
        <v>6</v>
      </c>
      <c r="B7" s="3">
        <v>12</v>
      </c>
      <c r="C7" s="3">
        <v>5</v>
      </c>
      <c r="D7" s="3">
        <v>12</v>
      </c>
      <c r="E7" s="3">
        <v>20</v>
      </c>
      <c r="F7" s="3">
        <f t="shared" si="0"/>
        <v>8</v>
      </c>
      <c r="G7" s="3">
        <f t="shared" si="0"/>
        <v>3</v>
      </c>
      <c r="H7" s="27">
        <f t="shared" si="1"/>
        <v>1.6</v>
      </c>
      <c r="I7" s="26"/>
      <c r="J7" s="101" t="s">
        <v>69</v>
      </c>
      <c r="L7" s="2"/>
      <c r="M7" s="2"/>
      <c r="N7" s="102"/>
      <c r="P7" s="2"/>
      <c r="Q7" s="2"/>
      <c r="R7" s="2" t="s">
        <v>14</v>
      </c>
      <c r="S7" s="2"/>
      <c r="T7" s="2"/>
      <c r="U7" s="2"/>
      <c r="V7" s="2"/>
      <c r="W7" s="2" t="s">
        <v>16</v>
      </c>
      <c r="X7" s="2"/>
      <c r="Y7" s="2"/>
      <c r="Z7" s="2" t="s">
        <v>6</v>
      </c>
      <c r="AA7" s="2"/>
      <c r="AB7" s="2"/>
      <c r="AC7" s="2"/>
      <c r="AD7" s="2"/>
      <c r="AE7" s="2"/>
    </row>
    <row r="8" spans="1:35">
      <c r="A8" s="2"/>
      <c r="B8" s="2"/>
      <c r="C8" s="84">
        <f>AVERAGE(C3:C7)</f>
        <v>4</v>
      </c>
      <c r="D8" s="34"/>
      <c r="E8" s="34"/>
      <c r="F8" s="84">
        <f t="shared" ref="F8:H8" si="2">AVERAGE(F3:F7)</f>
        <v>8.8000000000000007</v>
      </c>
      <c r="G8" s="84">
        <f t="shared" si="2"/>
        <v>4.8</v>
      </c>
      <c r="H8" s="84">
        <f t="shared" si="2"/>
        <v>2.246666666666667</v>
      </c>
      <c r="I8" s="26"/>
      <c r="L8" s="2"/>
      <c r="M8" s="2"/>
      <c r="N8" s="2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5">
      <c r="I9" s="26"/>
      <c r="L9" s="104" t="s">
        <v>13</v>
      </c>
      <c r="M9" s="79" t="s">
        <v>14</v>
      </c>
      <c r="N9" s="104" t="s">
        <v>13</v>
      </c>
      <c r="O9" s="1" t="s">
        <v>15</v>
      </c>
      <c r="P9" s="129" t="s">
        <v>14</v>
      </c>
      <c r="Q9" s="129"/>
      <c r="R9" s="104" t="s">
        <v>13</v>
      </c>
      <c r="S9" s="1" t="s">
        <v>15</v>
      </c>
      <c r="T9" s="79" t="s">
        <v>14</v>
      </c>
      <c r="U9" s="24" t="s">
        <v>16</v>
      </c>
      <c r="V9" s="130" t="s">
        <v>16</v>
      </c>
      <c r="W9" s="125"/>
      <c r="X9" s="80" t="s">
        <v>6</v>
      </c>
      <c r="Y9" s="131" t="s">
        <v>6</v>
      </c>
      <c r="Z9" s="132"/>
      <c r="AA9" s="79" t="s">
        <v>14</v>
      </c>
      <c r="AB9" s="125" t="s">
        <v>16</v>
      </c>
      <c r="AC9" s="125"/>
      <c r="AD9" s="132" t="s">
        <v>6</v>
      </c>
      <c r="AE9" s="132"/>
    </row>
    <row r="10" spans="1:35">
      <c r="I10" s="84"/>
      <c r="L10" s="32">
        <v>0</v>
      </c>
      <c r="M10" s="32">
        <v>1</v>
      </c>
      <c r="N10" s="32">
        <v>2</v>
      </c>
      <c r="O10" s="32">
        <v>3</v>
      </c>
      <c r="P10" s="32">
        <v>4</v>
      </c>
      <c r="Q10" s="32">
        <v>5</v>
      </c>
      <c r="R10" s="32">
        <v>6</v>
      </c>
      <c r="S10" s="32">
        <v>7</v>
      </c>
      <c r="T10" s="32">
        <v>8</v>
      </c>
      <c r="U10" s="32">
        <v>9</v>
      </c>
      <c r="V10" s="32">
        <v>10</v>
      </c>
      <c r="W10" s="32">
        <v>11</v>
      </c>
      <c r="X10" s="32">
        <v>12</v>
      </c>
      <c r="Y10" s="32">
        <v>13</v>
      </c>
      <c r="Z10" s="32">
        <v>14</v>
      </c>
      <c r="AA10" s="32">
        <v>15</v>
      </c>
      <c r="AB10" s="32">
        <v>16</v>
      </c>
      <c r="AC10" s="32">
        <v>17</v>
      </c>
      <c r="AD10" s="32">
        <v>18</v>
      </c>
      <c r="AE10" s="32">
        <v>19</v>
      </c>
      <c r="AF10" s="32">
        <v>20</v>
      </c>
      <c r="AG10" s="50"/>
      <c r="AH10" s="96" t="s">
        <v>64</v>
      </c>
      <c r="AI10" s="50"/>
    </row>
    <row r="11" spans="1:35">
      <c r="H11" s="31"/>
      <c r="I11" s="31"/>
    </row>
    <row r="12" spans="1:35">
      <c r="H12" s="31"/>
      <c r="I12" s="31"/>
      <c r="S12" t="s">
        <v>13</v>
      </c>
      <c r="T12" t="s">
        <v>15</v>
      </c>
      <c r="AB12" t="s">
        <v>14</v>
      </c>
      <c r="AD12" t="s">
        <v>16</v>
      </c>
      <c r="AF12" t="s">
        <v>6</v>
      </c>
    </row>
    <row r="13" spans="1:35">
      <c r="H13" s="31"/>
      <c r="I13" s="31"/>
    </row>
    <row r="14" spans="1:35">
      <c r="H14" s="31"/>
      <c r="I14" s="31"/>
    </row>
    <row r="15" spans="1:35">
      <c r="H15" s="31"/>
      <c r="I15" s="31"/>
    </row>
    <row r="16" spans="1:35">
      <c r="A16" s="2"/>
      <c r="B16" s="2"/>
      <c r="C16" s="2"/>
      <c r="D16" s="2"/>
      <c r="E16" s="2"/>
      <c r="F16" s="2"/>
      <c r="G16" s="2"/>
      <c r="H16" s="2"/>
      <c r="I16" s="2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30"/>
      <c r="AE16" s="30"/>
    </row>
    <row r="17" spans="1:41">
      <c r="A17" s="6" t="s">
        <v>70</v>
      </c>
      <c r="B17" s="6"/>
      <c r="C17" s="6"/>
      <c r="D17" s="6"/>
      <c r="E17" s="6"/>
      <c r="F17" s="6"/>
      <c r="G17" s="6"/>
      <c r="H17" s="6"/>
      <c r="K17" s="36"/>
      <c r="T17" s="36"/>
    </row>
    <row r="18" spans="1:41">
      <c r="A18" s="1" t="s">
        <v>0</v>
      </c>
      <c r="B18" s="1" t="s">
        <v>32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24</v>
      </c>
      <c r="H18" s="1" t="s">
        <v>23</v>
      </c>
      <c r="M18" s="95" t="s">
        <v>7</v>
      </c>
      <c r="N18" s="95"/>
      <c r="O18" s="95" t="s">
        <v>8</v>
      </c>
      <c r="P18" s="95"/>
      <c r="Q18" s="95" t="s">
        <v>9</v>
      </c>
      <c r="R18" s="95"/>
      <c r="S18" s="95" t="s">
        <v>10</v>
      </c>
      <c r="T18" s="95" t="s">
        <v>71</v>
      </c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11"/>
      <c r="AG18" s="11"/>
      <c r="AH18" s="11"/>
    </row>
    <row r="19" spans="1:41">
      <c r="A19" s="2" t="s">
        <v>7</v>
      </c>
      <c r="B19" s="2">
        <v>1</v>
      </c>
      <c r="C19" s="2">
        <v>3</v>
      </c>
      <c r="D19" s="2">
        <v>1</v>
      </c>
      <c r="E19" s="2">
        <v>5</v>
      </c>
      <c r="F19" s="2">
        <f>E19-B19</f>
        <v>4</v>
      </c>
      <c r="G19" s="26">
        <f>F19-C19</f>
        <v>1</v>
      </c>
      <c r="H19" s="26">
        <f>F19/C19</f>
        <v>1.3333333333333333</v>
      </c>
      <c r="L19" s="36"/>
    </row>
    <row r="20" spans="1:41">
      <c r="A20" s="2" t="s">
        <v>8</v>
      </c>
      <c r="B20" s="2">
        <v>3</v>
      </c>
      <c r="C20" s="2">
        <v>6</v>
      </c>
      <c r="D20" s="2">
        <v>3</v>
      </c>
      <c r="E20" s="2">
        <v>19</v>
      </c>
      <c r="F20" s="2">
        <f t="shared" ref="F20:F23" si="3">E20-B20</f>
        <v>16</v>
      </c>
      <c r="G20" s="26">
        <f t="shared" ref="G20:G23" si="4">F20-C20</f>
        <v>10</v>
      </c>
      <c r="H20" s="26">
        <f t="shared" ref="H20:H23" si="5">F20/C20</f>
        <v>2.6666666666666665</v>
      </c>
      <c r="J20" s="101" t="s">
        <v>67</v>
      </c>
      <c r="K20" s="68"/>
      <c r="L20" s="109"/>
      <c r="M20" s="109" t="s">
        <v>7</v>
      </c>
      <c r="N20" s="109"/>
      <c r="O20" s="109" t="s">
        <v>8</v>
      </c>
      <c r="P20" s="109"/>
      <c r="Q20" s="109" t="s">
        <v>9</v>
      </c>
      <c r="R20" s="109"/>
      <c r="S20" s="109" t="s">
        <v>10</v>
      </c>
      <c r="T20" s="109" t="s">
        <v>11</v>
      </c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68"/>
    </row>
    <row r="21" spans="1:41">
      <c r="A21" s="2" t="s">
        <v>9</v>
      </c>
      <c r="B21" s="2">
        <v>5</v>
      </c>
      <c r="C21" s="2">
        <v>8</v>
      </c>
      <c r="D21" s="2">
        <v>5</v>
      </c>
      <c r="E21" s="2">
        <v>24</v>
      </c>
      <c r="F21" s="2">
        <f t="shared" si="3"/>
        <v>19</v>
      </c>
      <c r="G21" s="26">
        <f t="shared" si="4"/>
        <v>11</v>
      </c>
      <c r="H21" s="26">
        <f t="shared" si="5"/>
        <v>2.375</v>
      </c>
      <c r="J21" s="101" t="s">
        <v>68</v>
      </c>
      <c r="K21" s="68"/>
      <c r="L21" s="109"/>
      <c r="M21" s="109"/>
      <c r="N21" s="109" t="s">
        <v>7</v>
      </c>
      <c r="O21" s="109"/>
      <c r="P21" s="109" t="s">
        <v>8</v>
      </c>
      <c r="Q21" s="109"/>
      <c r="R21" s="109" t="s">
        <v>9</v>
      </c>
      <c r="S21" s="109"/>
      <c r="T21" s="109" t="s">
        <v>10</v>
      </c>
      <c r="U21" s="109" t="s">
        <v>11</v>
      </c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68"/>
    </row>
    <row r="22" spans="1:41">
      <c r="A22" s="2" t="s">
        <v>10</v>
      </c>
      <c r="B22" s="2">
        <v>7</v>
      </c>
      <c r="C22" s="2">
        <v>4</v>
      </c>
      <c r="D22" s="2">
        <v>7</v>
      </c>
      <c r="E22" s="2">
        <v>25</v>
      </c>
      <c r="F22" s="2">
        <f t="shared" si="3"/>
        <v>18</v>
      </c>
      <c r="G22" s="26">
        <f t="shared" si="4"/>
        <v>14</v>
      </c>
      <c r="H22" s="26">
        <f t="shared" si="5"/>
        <v>4.5</v>
      </c>
      <c r="J22" s="101" t="s">
        <v>69</v>
      </c>
      <c r="K22" s="68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 t="s">
        <v>8</v>
      </c>
      <c r="X22" s="109"/>
      <c r="Y22" s="109" t="s">
        <v>9</v>
      </c>
      <c r="Z22" s="109"/>
      <c r="AA22" s="109" t="s">
        <v>10</v>
      </c>
      <c r="AB22" s="109"/>
      <c r="AC22" s="109" t="s">
        <v>11</v>
      </c>
      <c r="AD22" s="109"/>
      <c r="AE22" s="109"/>
      <c r="AF22" s="109"/>
      <c r="AG22" s="109"/>
      <c r="AH22" s="109"/>
      <c r="AI22" s="68"/>
    </row>
    <row r="23" spans="1:41">
      <c r="A23" s="3" t="s">
        <v>11</v>
      </c>
      <c r="B23" s="3">
        <v>8</v>
      </c>
      <c r="C23" s="3">
        <v>5</v>
      </c>
      <c r="D23" s="3">
        <v>8</v>
      </c>
      <c r="E23" s="3">
        <v>27</v>
      </c>
      <c r="F23" s="3">
        <f t="shared" si="3"/>
        <v>19</v>
      </c>
      <c r="G23" s="27">
        <f t="shared" si="4"/>
        <v>14</v>
      </c>
      <c r="H23" s="27">
        <f t="shared" si="5"/>
        <v>3.8</v>
      </c>
    </row>
    <row r="24" spans="1:41">
      <c r="C24" s="91">
        <f>AVERAGE(C19:C23)</f>
        <v>5.2</v>
      </c>
      <c r="D24" s="92"/>
      <c r="E24" s="92"/>
      <c r="F24" s="91">
        <f t="shared" ref="F24:H24" si="6">AVERAGE(F19:F23)</f>
        <v>15.2</v>
      </c>
      <c r="G24" s="105">
        <f t="shared" si="6"/>
        <v>10</v>
      </c>
      <c r="H24" s="105">
        <f t="shared" si="6"/>
        <v>2.9350000000000001</v>
      </c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68"/>
    </row>
    <row r="25" spans="1:41">
      <c r="C25" s="91"/>
      <c r="D25" s="92"/>
      <c r="E25" s="92"/>
      <c r="F25" s="91"/>
      <c r="G25" s="91"/>
      <c r="H25" s="105"/>
      <c r="K25" s="68"/>
      <c r="L25" s="112"/>
      <c r="M25" s="107" t="s">
        <v>7</v>
      </c>
      <c r="N25" s="113" t="s">
        <v>7</v>
      </c>
      <c r="O25" s="108" t="s">
        <v>8</v>
      </c>
      <c r="P25" s="107" t="s">
        <v>7</v>
      </c>
      <c r="Q25" s="106" t="s">
        <v>9</v>
      </c>
      <c r="R25" s="108" t="s">
        <v>8</v>
      </c>
      <c r="S25" s="110" t="s">
        <v>10</v>
      </c>
      <c r="T25" s="111" t="s">
        <v>11</v>
      </c>
      <c r="U25" s="127" t="s">
        <v>8</v>
      </c>
      <c r="V25" s="127"/>
      <c r="W25" s="133" t="s">
        <v>9</v>
      </c>
      <c r="X25" s="133"/>
      <c r="Y25" s="128" t="s">
        <v>10</v>
      </c>
      <c r="Z25" s="128"/>
      <c r="AA25" s="134" t="s">
        <v>11</v>
      </c>
      <c r="AB25" s="134"/>
      <c r="AC25" s="127" t="s">
        <v>8</v>
      </c>
      <c r="AD25" s="127"/>
      <c r="AE25" s="133" t="s">
        <v>9</v>
      </c>
      <c r="AF25" s="133"/>
      <c r="AG25" s="133"/>
      <c r="AH25" s="133"/>
      <c r="AI25" s="133"/>
      <c r="AJ25" s="63" t="s">
        <v>10</v>
      </c>
      <c r="AK25" s="125" t="s">
        <v>11</v>
      </c>
      <c r="AL25" s="125"/>
    </row>
    <row r="26" spans="1:41">
      <c r="L26" s="32">
        <v>0</v>
      </c>
      <c r="M26" s="32">
        <v>1</v>
      </c>
      <c r="N26" s="32">
        <v>2</v>
      </c>
      <c r="O26" s="32">
        <v>3</v>
      </c>
      <c r="P26" s="32">
        <v>4</v>
      </c>
      <c r="Q26" s="32">
        <v>5</v>
      </c>
      <c r="R26" s="32">
        <v>6</v>
      </c>
      <c r="S26" s="32">
        <v>7</v>
      </c>
      <c r="T26" s="32">
        <v>8</v>
      </c>
      <c r="U26" s="32">
        <v>9</v>
      </c>
      <c r="V26" s="32">
        <v>10</v>
      </c>
      <c r="W26" s="32">
        <v>11</v>
      </c>
      <c r="X26" s="32">
        <v>12</v>
      </c>
      <c r="Y26" s="32">
        <v>13</v>
      </c>
      <c r="Z26" s="32">
        <v>14</v>
      </c>
      <c r="AA26" s="32">
        <v>15</v>
      </c>
      <c r="AB26" s="32">
        <v>16</v>
      </c>
      <c r="AC26" s="32">
        <v>17</v>
      </c>
      <c r="AD26" s="32">
        <v>18</v>
      </c>
      <c r="AE26" s="32">
        <v>19</v>
      </c>
      <c r="AF26" s="32">
        <v>20</v>
      </c>
      <c r="AG26" s="96">
        <v>21</v>
      </c>
      <c r="AH26" s="96">
        <v>22</v>
      </c>
      <c r="AI26" s="96">
        <v>23</v>
      </c>
      <c r="AJ26" s="96">
        <v>24</v>
      </c>
      <c r="AK26" s="96">
        <v>25</v>
      </c>
      <c r="AL26" s="96">
        <v>26</v>
      </c>
      <c r="AM26" s="96">
        <v>27</v>
      </c>
      <c r="AO26" s="96" t="s">
        <v>64</v>
      </c>
    </row>
    <row r="28" spans="1:41">
      <c r="Q28" t="s">
        <v>7</v>
      </c>
      <c r="AE28" t="s">
        <v>8</v>
      </c>
      <c r="AJ28" t="s">
        <v>9</v>
      </c>
      <c r="AK28" t="s">
        <v>10</v>
      </c>
      <c r="AM28" t="s">
        <v>11</v>
      </c>
    </row>
    <row r="31" spans="1:41">
      <c r="M31" s="95"/>
      <c r="N31" s="95"/>
      <c r="O31" s="95"/>
      <c r="P31" s="95"/>
      <c r="Q31" s="95"/>
      <c r="R31" s="95"/>
      <c r="S31" s="95"/>
      <c r="T31" s="95"/>
      <c r="U31" s="95"/>
    </row>
    <row r="32" spans="1:41">
      <c r="A32" s="2"/>
      <c r="B32" s="2"/>
      <c r="C32" s="2"/>
      <c r="D32" s="2"/>
      <c r="E32" s="2"/>
      <c r="F32" s="2"/>
      <c r="G32" s="2"/>
      <c r="H32" s="2"/>
      <c r="L32" s="36"/>
    </row>
    <row r="33" spans="1:41">
      <c r="A33" s="2"/>
      <c r="B33" s="2"/>
      <c r="C33" s="2"/>
      <c r="D33" s="2"/>
      <c r="E33" s="2"/>
      <c r="F33" s="2"/>
      <c r="G33" s="26"/>
      <c r="H33" s="26"/>
      <c r="L33" s="114"/>
    </row>
    <row r="34" spans="1:41">
      <c r="A34" s="2"/>
      <c r="B34" s="2"/>
      <c r="C34" s="2"/>
      <c r="D34" s="2"/>
      <c r="E34" s="2"/>
      <c r="F34" s="2"/>
      <c r="G34" s="26"/>
      <c r="H34" s="26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96"/>
      <c r="AH34" s="96"/>
      <c r="AI34" s="96"/>
      <c r="AJ34" s="96"/>
      <c r="AK34" s="96"/>
      <c r="AL34" s="96"/>
      <c r="AM34" s="96"/>
      <c r="AO34" s="96"/>
    </row>
    <row r="35" spans="1:41">
      <c r="A35" s="2"/>
      <c r="B35" s="2"/>
      <c r="C35" s="2"/>
      <c r="D35" s="2"/>
      <c r="E35" s="2"/>
      <c r="F35" s="2"/>
      <c r="G35" s="26"/>
      <c r="H35" s="26"/>
    </row>
    <row r="36" spans="1:41">
      <c r="A36" s="2"/>
      <c r="B36" s="2"/>
      <c r="C36" s="2"/>
      <c r="D36" s="2"/>
      <c r="E36" s="2"/>
      <c r="F36" s="2"/>
      <c r="G36" s="26"/>
      <c r="H36" s="26"/>
    </row>
    <row r="37" spans="1:41">
      <c r="A37" s="2"/>
      <c r="B37" s="2"/>
      <c r="C37" s="2"/>
      <c r="D37" s="2"/>
      <c r="E37" s="2"/>
      <c r="F37" s="2"/>
      <c r="G37" s="26"/>
      <c r="H37" s="26"/>
      <c r="L37" s="61"/>
    </row>
    <row r="38" spans="1:41">
      <c r="C38" s="91"/>
      <c r="D38" s="92"/>
      <c r="E38" s="92"/>
      <c r="F38" s="91"/>
      <c r="G38" s="105"/>
      <c r="H38" s="105"/>
    </row>
    <row r="42" spans="1:41">
      <c r="A42" s="2"/>
      <c r="B42" s="2"/>
      <c r="C42" s="2"/>
      <c r="D42" s="115"/>
      <c r="E42" s="2"/>
      <c r="F42" s="2"/>
      <c r="G42" s="2"/>
      <c r="H42" s="2"/>
      <c r="I42" s="2"/>
    </row>
    <row r="43" spans="1:41">
      <c r="A43" s="2"/>
      <c r="B43" s="2"/>
      <c r="C43" s="2"/>
      <c r="D43" s="2"/>
      <c r="E43" s="2"/>
      <c r="F43" s="2"/>
      <c r="G43" s="2"/>
      <c r="H43" s="26"/>
      <c r="I43" s="26"/>
    </row>
    <row r="44" spans="1:41">
      <c r="A44" s="2"/>
      <c r="B44" s="2"/>
      <c r="C44" s="2"/>
      <c r="D44" s="2"/>
      <c r="E44" s="2"/>
      <c r="F44" s="2"/>
      <c r="G44" s="2"/>
      <c r="H44" s="26"/>
      <c r="I44" s="26"/>
    </row>
    <row r="45" spans="1:41">
      <c r="A45" s="2"/>
      <c r="B45" s="2"/>
      <c r="C45" s="2"/>
      <c r="D45" s="2"/>
      <c r="E45" s="2"/>
      <c r="F45" s="2"/>
      <c r="G45" s="2"/>
      <c r="H45" s="26"/>
      <c r="I45" s="26"/>
    </row>
    <row r="46" spans="1:41">
      <c r="A46" s="2"/>
      <c r="B46" s="2"/>
      <c r="C46" s="2"/>
      <c r="D46" s="2"/>
      <c r="E46" s="2"/>
      <c r="F46" s="2"/>
      <c r="G46" s="2"/>
      <c r="H46" s="26"/>
      <c r="I46" s="26"/>
    </row>
    <row r="47" spans="1:41">
      <c r="A47" s="2"/>
      <c r="B47" s="2"/>
      <c r="C47" s="2"/>
      <c r="D47" s="2"/>
      <c r="E47" s="2"/>
      <c r="F47" s="2"/>
      <c r="G47" s="2"/>
      <c r="H47" s="26"/>
      <c r="I47" s="26"/>
    </row>
    <row r="48" spans="1:41">
      <c r="C48" s="91"/>
      <c r="E48" s="92"/>
      <c r="F48" s="92"/>
      <c r="G48" s="91"/>
      <c r="H48" s="105"/>
      <c r="I48" s="105"/>
    </row>
  </sheetData>
  <mergeCells count="12">
    <mergeCell ref="AK25:AL25"/>
    <mergeCell ref="U25:V25"/>
    <mergeCell ref="Y25:Z25"/>
    <mergeCell ref="AC25:AD25"/>
    <mergeCell ref="P9:Q9"/>
    <mergeCell ref="V9:W9"/>
    <mergeCell ref="Y9:Z9"/>
    <mergeCell ref="AD9:AE9"/>
    <mergeCell ref="AB9:AC9"/>
    <mergeCell ref="AE25:AI25"/>
    <mergeCell ref="AA25:AB25"/>
    <mergeCell ref="W25:X2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V32"/>
  <sheetViews>
    <sheetView tabSelected="1" zoomScale="140" zoomScaleNormal="140" workbookViewId="0">
      <selection activeCell="A3" sqref="A3:B3"/>
    </sheetView>
  </sheetViews>
  <sheetFormatPr baseColWidth="10" defaultRowHeight="15"/>
  <cols>
    <col min="4" max="6" width="5.7109375" customWidth="1"/>
    <col min="7" max="7" width="6.140625" customWidth="1"/>
    <col min="8" max="8" width="6.28515625" customWidth="1"/>
    <col min="9" max="9" width="7" customWidth="1"/>
    <col min="11" max="75" width="3.7109375" customWidth="1"/>
  </cols>
  <sheetData>
    <row r="1" spans="1:74" ht="15.75">
      <c r="A1" s="48" t="s">
        <v>33</v>
      </c>
      <c r="B1" s="49"/>
      <c r="C1" s="49"/>
      <c r="D1" s="49"/>
      <c r="E1" s="49"/>
    </row>
    <row r="2" spans="1:74" ht="15.75">
      <c r="A2" s="52"/>
      <c r="B2" s="49"/>
      <c r="C2" s="49"/>
      <c r="D2" s="49"/>
      <c r="E2" s="49"/>
    </row>
    <row r="3" spans="1:74" ht="15.75">
      <c r="A3" s="49" t="s">
        <v>34</v>
      </c>
      <c r="B3" s="49"/>
      <c r="C3" s="49"/>
      <c r="D3" s="49"/>
      <c r="E3" s="49"/>
    </row>
    <row r="4" spans="1:74" s="50" customFormat="1" ht="20.100000000000001" customHeight="1">
      <c r="A4" s="51" t="s">
        <v>46</v>
      </c>
      <c r="B4" s="64"/>
      <c r="C4" s="64"/>
      <c r="D4" s="64"/>
      <c r="E4" s="64"/>
      <c r="F4" s="64"/>
      <c r="G4" s="64"/>
      <c r="H4" s="64"/>
      <c r="I4" s="64"/>
      <c r="J4" s="64"/>
    </row>
    <row r="5" spans="1:74" ht="20.100000000000001" customHeight="1">
      <c r="A5" s="51" t="s">
        <v>49</v>
      </c>
      <c r="B5" s="49"/>
      <c r="C5" s="49"/>
      <c r="D5" s="49"/>
      <c r="E5" s="49"/>
      <c r="R5" t="s">
        <v>8</v>
      </c>
      <c r="X5" t="s">
        <v>7</v>
      </c>
      <c r="AI5" t="s">
        <v>9</v>
      </c>
      <c r="AK5" t="s">
        <v>10</v>
      </c>
    </row>
    <row r="6" spans="1:74" ht="15.75">
      <c r="A6" s="49"/>
      <c r="B6" s="49"/>
      <c r="C6" s="49"/>
      <c r="D6" s="49"/>
      <c r="E6" s="49"/>
      <c r="K6" s="71" t="s">
        <v>12</v>
      </c>
    </row>
    <row r="7" spans="1:74">
      <c r="K7" s="116" t="s">
        <v>7</v>
      </c>
      <c r="L7" s="116"/>
      <c r="M7" s="7" t="s">
        <v>8</v>
      </c>
      <c r="N7" s="4" t="s">
        <v>7</v>
      </c>
      <c r="O7" s="7" t="s">
        <v>8</v>
      </c>
      <c r="P7" s="4" t="s">
        <v>7</v>
      </c>
      <c r="Q7" s="7" t="s">
        <v>8</v>
      </c>
      <c r="R7" s="10" t="s">
        <v>9</v>
      </c>
      <c r="S7" s="4" t="s">
        <v>7</v>
      </c>
      <c r="T7" s="10" t="s">
        <v>9</v>
      </c>
      <c r="U7" s="4" t="s">
        <v>7</v>
      </c>
      <c r="V7" s="10" t="s">
        <v>9</v>
      </c>
      <c r="W7" s="4" t="s">
        <v>7</v>
      </c>
      <c r="X7" s="120" t="s">
        <v>9</v>
      </c>
      <c r="Y7" s="120"/>
      <c r="Z7" s="120"/>
      <c r="AA7" s="120"/>
      <c r="AB7" s="120"/>
      <c r="AC7" s="120"/>
      <c r="AD7" s="120"/>
      <c r="AE7" s="63" t="s">
        <v>10</v>
      </c>
      <c r="AF7" s="10" t="s">
        <v>9</v>
      </c>
      <c r="AG7" s="63" t="s">
        <v>10</v>
      </c>
      <c r="AH7" s="10" t="s">
        <v>9</v>
      </c>
      <c r="AI7" s="135" t="s">
        <v>10</v>
      </c>
      <c r="AJ7" s="135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</row>
    <row r="8" spans="1:74">
      <c r="A8" s="47" t="s">
        <v>35</v>
      </c>
      <c r="B8" s="47" t="s">
        <v>36</v>
      </c>
      <c r="C8" s="47" t="s">
        <v>37</v>
      </c>
      <c r="D8" s="47" t="s">
        <v>3</v>
      </c>
      <c r="E8" s="47" t="s">
        <v>4</v>
      </c>
      <c r="F8" s="47" t="s">
        <v>5</v>
      </c>
      <c r="G8" s="47" t="s">
        <v>24</v>
      </c>
      <c r="H8" s="47" t="s">
        <v>23</v>
      </c>
      <c r="I8" s="47" t="s">
        <v>62</v>
      </c>
      <c r="K8" s="94">
        <v>0</v>
      </c>
      <c r="L8" s="94">
        <v>1</v>
      </c>
      <c r="M8" s="94">
        <v>2</v>
      </c>
      <c r="N8" s="94">
        <v>3</v>
      </c>
      <c r="O8" s="94">
        <v>4</v>
      </c>
      <c r="P8" s="94">
        <v>5</v>
      </c>
      <c r="Q8" s="94">
        <v>6</v>
      </c>
      <c r="R8" s="94">
        <v>7</v>
      </c>
      <c r="S8" s="94">
        <v>8</v>
      </c>
      <c r="T8" s="94">
        <v>9</v>
      </c>
      <c r="U8" s="94">
        <v>10</v>
      </c>
      <c r="V8" s="94">
        <v>11</v>
      </c>
      <c r="W8" s="94">
        <v>12</v>
      </c>
      <c r="X8" s="94">
        <v>13</v>
      </c>
      <c r="Y8" s="94">
        <v>14</v>
      </c>
      <c r="Z8" s="94">
        <v>15</v>
      </c>
      <c r="AA8" s="94">
        <v>16</v>
      </c>
      <c r="AB8" s="94">
        <v>17</v>
      </c>
      <c r="AC8" s="94">
        <v>18</v>
      </c>
      <c r="AD8" s="94">
        <v>19</v>
      </c>
      <c r="AE8" s="94">
        <v>20</v>
      </c>
      <c r="AF8" s="94">
        <v>21</v>
      </c>
      <c r="AG8" s="94">
        <v>22</v>
      </c>
      <c r="AH8" s="94">
        <v>23</v>
      </c>
      <c r="AI8" s="94">
        <v>24</v>
      </c>
      <c r="AJ8" s="94">
        <v>25</v>
      </c>
      <c r="AK8" s="94">
        <v>26</v>
      </c>
      <c r="AM8" s="93" t="s">
        <v>64</v>
      </c>
    </row>
    <row r="9" spans="1:74">
      <c r="A9" s="2" t="s">
        <v>7</v>
      </c>
      <c r="B9" s="2">
        <v>0</v>
      </c>
      <c r="C9" s="2">
        <v>7</v>
      </c>
      <c r="D9" s="2">
        <v>0</v>
      </c>
      <c r="E9" s="2">
        <v>13</v>
      </c>
      <c r="F9" s="2">
        <f>E9-B9</f>
        <v>13</v>
      </c>
      <c r="G9" s="2">
        <f>F9-C9</f>
        <v>6</v>
      </c>
      <c r="H9" s="2">
        <f>F9/C9</f>
        <v>1.8571428571428572</v>
      </c>
      <c r="I9" s="2">
        <f>C9/F9</f>
        <v>0.53846153846153844</v>
      </c>
    </row>
    <row r="10" spans="1:74">
      <c r="A10" s="2" t="s">
        <v>8</v>
      </c>
      <c r="B10" s="2">
        <v>2</v>
      </c>
      <c r="C10" s="2">
        <v>3</v>
      </c>
      <c r="D10" s="2">
        <v>2</v>
      </c>
      <c r="E10" s="2">
        <v>7</v>
      </c>
      <c r="F10" s="2">
        <f t="shared" ref="F10:F12" si="0">E10-B10</f>
        <v>5</v>
      </c>
      <c r="G10" s="2">
        <f t="shared" ref="G10:G12" si="1">F10-C10</f>
        <v>2</v>
      </c>
      <c r="H10" s="2">
        <f t="shared" ref="H10:H12" si="2">F10/C10</f>
        <v>1.6666666666666667</v>
      </c>
      <c r="I10" s="2">
        <f t="shared" ref="I10:I12" si="3">C10/F10</f>
        <v>0.6</v>
      </c>
      <c r="K10" t="s">
        <v>7</v>
      </c>
      <c r="M10" t="s">
        <v>8</v>
      </c>
      <c r="Q10" t="s">
        <v>9</v>
      </c>
      <c r="AE10" t="s">
        <v>10</v>
      </c>
    </row>
    <row r="11" spans="1:74">
      <c r="A11" s="2" t="s">
        <v>9</v>
      </c>
      <c r="B11" s="2">
        <v>6</v>
      </c>
      <c r="C11" s="2">
        <v>12</v>
      </c>
      <c r="D11" s="2">
        <v>7</v>
      </c>
      <c r="E11" s="2">
        <v>24</v>
      </c>
      <c r="F11" s="2">
        <f t="shared" si="0"/>
        <v>18</v>
      </c>
      <c r="G11" s="2">
        <f t="shared" si="1"/>
        <v>6</v>
      </c>
      <c r="H11" s="2">
        <f t="shared" si="2"/>
        <v>1.5</v>
      </c>
      <c r="I11" s="2">
        <f t="shared" si="3"/>
        <v>0.66666666666666663</v>
      </c>
      <c r="K11" s="46"/>
      <c r="L11" s="46"/>
      <c r="M11" s="46" t="s">
        <v>7</v>
      </c>
      <c r="N11" s="46" t="s">
        <v>8</v>
      </c>
      <c r="O11" s="46" t="s">
        <v>7</v>
      </c>
      <c r="P11" s="46" t="s">
        <v>8</v>
      </c>
      <c r="Q11" s="46" t="s">
        <v>9</v>
      </c>
      <c r="R11" s="46" t="s">
        <v>7</v>
      </c>
      <c r="S11" s="46" t="s">
        <v>9</v>
      </c>
      <c r="T11" s="46" t="s">
        <v>7</v>
      </c>
      <c r="U11" s="46" t="s">
        <v>9</v>
      </c>
      <c r="V11" s="46" t="s">
        <v>7</v>
      </c>
      <c r="W11" s="46" t="s">
        <v>9</v>
      </c>
      <c r="X11" s="46"/>
      <c r="Y11" s="46"/>
      <c r="Z11" s="46"/>
      <c r="AA11" s="46"/>
      <c r="AB11" s="46"/>
      <c r="AC11" s="46"/>
      <c r="AD11" s="46"/>
      <c r="AE11" s="46" t="s">
        <v>9</v>
      </c>
      <c r="AF11" s="46" t="s">
        <v>10</v>
      </c>
      <c r="AG11" s="46" t="s">
        <v>9</v>
      </c>
      <c r="AH11" s="46" t="s">
        <v>10</v>
      </c>
      <c r="AI11" s="46"/>
      <c r="AJ11" s="46"/>
    </row>
    <row r="12" spans="1:74">
      <c r="A12" s="3" t="s">
        <v>10</v>
      </c>
      <c r="B12" s="3">
        <v>20</v>
      </c>
      <c r="C12" s="3">
        <v>4</v>
      </c>
      <c r="D12" s="3">
        <v>20</v>
      </c>
      <c r="E12" s="3">
        <v>26</v>
      </c>
      <c r="F12" s="3">
        <f t="shared" si="0"/>
        <v>6</v>
      </c>
      <c r="G12" s="3">
        <f t="shared" si="1"/>
        <v>2</v>
      </c>
      <c r="H12" s="3">
        <f t="shared" si="2"/>
        <v>1.5</v>
      </c>
      <c r="I12" s="3">
        <f t="shared" si="3"/>
        <v>0.66666666666666663</v>
      </c>
      <c r="K12" s="46"/>
      <c r="L12" s="46"/>
      <c r="M12" s="46"/>
      <c r="N12" s="46"/>
      <c r="O12" s="46"/>
      <c r="P12" s="46"/>
      <c r="Q12" s="46" t="s">
        <v>7</v>
      </c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</row>
    <row r="13" spans="1:74">
      <c r="A13" s="2"/>
      <c r="B13" s="2"/>
      <c r="C13" s="34">
        <f>AVERAGE(C8:C12)</f>
        <v>6.5</v>
      </c>
      <c r="D13" s="34"/>
      <c r="E13" s="34"/>
      <c r="F13" s="83">
        <f>AVERAGE(F8:F12)</f>
        <v>10.5</v>
      </c>
      <c r="G13" s="34">
        <f>AVERAGE(G8:G12)</f>
        <v>4</v>
      </c>
      <c r="H13" s="84">
        <f>AVERAGE(H8:H12)</f>
        <v>1.6309523809523809</v>
      </c>
      <c r="I13" s="84">
        <f>AVERAGE(I8:I12)</f>
        <v>0.61794871794871786</v>
      </c>
    </row>
    <row r="14" spans="1:74">
      <c r="A14" s="2"/>
      <c r="B14" s="2"/>
      <c r="C14" s="2"/>
      <c r="D14" s="2"/>
      <c r="E14" s="2"/>
      <c r="F14" s="2"/>
      <c r="G14" s="2"/>
      <c r="H14" s="26"/>
      <c r="I14" s="26"/>
      <c r="R14" t="s">
        <v>8</v>
      </c>
      <c r="Y14" t="s">
        <v>7</v>
      </c>
      <c r="AI14" t="s">
        <v>9</v>
      </c>
      <c r="AK14" t="s">
        <v>10</v>
      </c>
    </row>
    <row r="15" spans="1:74">
      <c r="K15" s="71" t="s">
        <v>44</v>
      </c>
    </row>
    <row r="16" spans="1:74">
      <c r="A16" s="47" t="s">
        <v>35</v>
      </c>
      <c r="B16" s="47" t="s">
        <v>36</v>
      </c>
      <c r="C16" s="47" t="s">
        <v>37</v>
      </c>
      <c r="D16" s="47" t="s">
        <v>3</v>
      </c>
      <c r="E16" s="47" t="s">
        <v>4</v>
      </c>
      <c r="F16" s="47" t="s">
        <v>5</v>
      </c>
      <c r="G16" s="47" t="s">
        <v>24</v>
      </c>
      <c r="H16" s="47" t="s">
        <v>23</v>
      </c>
      <c r="I16" s="47" t="s">
        <v>62</v>
      </c>
      <c r="K16" s="116" t="s">
        <v>7</v>
      </c>
      <c r="L16" s="116"/>
      <c r="M16" s="117" t="s">
        <v>8</v>
      </c>
      <c r="N16" s="117"/>
      <c r="O16" s="116" t="s">
        <v>7</v>
      </c>
      <c r="P16" s="116"/>
      <c r="Q16" s="7" t="s">
        <v>8</v>
      </c>
      <c r="R16" s="120" t="s">
        <v>9</v>
      </c>
      <c r="S16" s="120"/>
      <c r="T16" s="116" t="s">
        <v>7</v>
      </c>
      <c r="U16" s="116"/>
      <c r="V16" s="120" t="s">
        <v>9</v>
      </c>
      <c r="W16" s="120"/>
      <c r="X16" s="4" t="s">
        <v>7</v>
      </c>
      <c r="Y16" s="120" t="s">
        <v>9</v>
      </c>
      <c r="Z16" s="120"/>
      <c r="AA16" s="120"/>
      <c r="AB16" s="120"/>
      <c r="AC16" s="120"/>
      <c r="AD16" s="120"/>
      <c r="AE16" s="135" t="s">
        <v>10</v>
      </c>
      <c r="AF16" s="135"/>
      <c r="AG16" s="120" t="s">
        <v>9</v>
      </c>
      <c r="AH16" s="120"/>
      <c r="AI16" s="135" t="s">
        <v>10</v>
      </c>
      <c r="AJ16" s="135"/>
    </row>
    <row r="17" spans="1:39">
      <c r="A17" s="2" t="s">
        <v>7</v>
      </c>
      <c r="B17" s="2">
        <v>0</v>
      </c>
      <c r="C17" s="2">
        <v>7</v>
      </c>
      <c r="D17" s="2">
        <v>0</v>
      </c>
      <c r="E17" s="2">
        <v>14</v>
      </c>
      <c r="F17" s="2">
        <f>E17-B17</f>
        <v>14</v>
      </c>
      <c r="G17" s="2">
        <f>F17-C17</f>
        <v>7</v>
      </c>
      <c r="H17" s="2">
        <f>F17/C17</f>
        <v>2</v>
      </c>
      <c r="I17" s="2">
        <f>C17/F17</f>
        <v>0.5</v>
      </c>
      <c r="K17" s="94">
        <v>0</v>
      </c>
      <c r="L17" s="94">
        <v>1</v>
      </c>
      <c r="M17" s="94">
        <v>2</v>
      </c>
      <c r="N17" s="94">
        <v>3</v>
      </c>
      <c r="O17" s="94">
        <v>4</v>
      </c>
      <c r="P17" s="94">
        <v>5</v>
      </c>
      <c r="Q17" s="94">
        <v>6</v>
      </c>
      <c r="R17" s="94">
        <v>7</v>
      </c>
      <c r="S17" s="94">
        <v>8</v>
      </c>
      <c r="T17" s="94">
        <v>9</v>
      </c>
      <c r="U17" s="94">
        <v>10</v>
      </c>
      <c r="V17" s="94">
        <v>11</v>
      </c>
      <c r="W17" s="94">
        <v>12</v>
      </c>
      <c r="X17" s="94">
        <v>13</v>
      </c>
      <c r="Y17" s="94">
        <v>14</v>
      </c>
      <c r="Z17" s="94">
        <v>15</v>
      </c>
      <c r="AA17" s="94">
        <v>16</v>
      </c>
      <c r="AB17" s="94">
        <v>17</v>
      </c>
      <c r="AC17" s="94">
        <v>18</v>
      </c>
      <c r="AD17" s="94">
        <v>19</v>
      </c>
      <c r="AE17" s="94">
        <v>20</v>
      </c>
      <c r="AF17" s="94">
        <v>21</v>
      </c>
      <c r="AG17" s="94">
        <v>22</v>
      </c>
      <c r="AH17" s="94">
        <v>23</v>
      </c>
      <c r="AI17" s="94">
        <v>24</v>
      </c>
      <c r="AJ17" s="94">
        <v>25</v>
      </c>
      <c r="AK17" s="94">
        <v>26</v>
      </c>
      <c r="AM17" s="93" t="s">
        <v>64</v>
      </c>
    </row>
    <row r="18" spans="1:39">
      <c r="A18" s="2" t="s">
        <v>8</v>
      </c>
      <c r="B18" s="2">
        <v>2</v>
      </c>
      <c r="C18" s="2">
        <v>3</v>
      </c>
      <c r="D18" s="2">
        <v>2</v>
      </c>
      <c r="E18" s="2">
        <v>7</v>
      </c>
      <c r="F18" s="2">
        <f t="shared" ref="F18:F20" si="4">E18-B18</f>
        <v>5</v>
      </c>
      <c r="G18" s="2">
        <f t="shared" ref="G18:G20" si="5">F18-C18</f>
        <v>2</v>
      </c>
      <c r="H18" s="2">
        <f t="shared" ref="H18:H20" si="6">F18/C18</f>
        <v>1.6666666666666667</v>
      </c>
      <c r="I18" s="2">
        <f t="shared" ref="I18:I20" si="7">C18/F18</f>
        <v>0.6</v>
      </c>
    </row>
    <row r="19" spans="1:39">
      <c r="A19" s="2" t="s">
        <v>9</v>
      </c>
      <c r="B19" s="2">
        <v>6</v>
      </c>
      <c r="C19" s="2">
        <v>12</v>
      </c>
      <c r="D19" s="2">
        <v>7</v>
      </c>
      <c r="E19" s="2">
        <v>24</v>
      </c>
      <c r="F19" s="2">
        <f t="shared" si="4"/>
        <v>18</v>
      </c>
      <c r="G19" s="2">
        <f t="shared" si="5"/>
        <v>6</v>
      </c>
      <c r="H19" s="2">
        <f t="shared" si="6"/>
        <v>1.5</v>
      </c>
      <c r="I19" s="2">
        <f t="shared" si="7"/>
        <v>0.66666666666666663</v>
      </c>
      <c r="K19" t="s">
        <v>7</v>
      </c>
      <c r="M19" t="s">
        <v>8</v>
      </c>
      <c r="Q19" t="s">
        <v>9</v>
      </c>
      <c r="AE19" t="s">
        <v>10</v>
      </c>
    </row>
    <row r="20" spans="1:39">
      <c r="A20" s="3" t="s">
        <v>10</v>
      </c>
      <c r="B20" s="3">
        <v>20</v>
      </c>
      <c r="C20" s="3">
        <v>4</v>
      </c>
      <c r="D20" s="3">
        <v>20</v>
      </c>
      <c r="E20" s="3">
        <v>26</v>
      </c>
      <c r="F20" s="3">
        <f t="shared" si="4"/>
        <v>6</v>
      </c>
      <c r="G20" s="3">
        <f t="shared" si="5"/>
        <v>2</v>
      </c>
      <c r="H20" s="3">
        <f t="shared" si="6"/>
        <v>1.5</v>
      </c>
      <c r="I20" s="3">
        <f t="shared" si="7"/>
        <v>0.66666666666666663</v>
      </c>
      <c r="K20" s="46"/>
      <c r="L20" s="46"/>
      <c r="M20" s="46" t="s">
        <v>7</v>
      </c>
      <c r="N20" s="46" t="s">
        <v>7</v>
      </c>
      <c r="O20" s="46" t="s">
        <v>8</v>
      </c>
      <c r="P20" s="46" t="s">
        <v>8</v>
      </c>
      <c r="Q20" s="46" t="s">
        <v>9</v>
      </c>
      <c r="R20" s="46" t="s">
        <v>7</v>
      </c>
      <c r="S20" s="46" t="s">
        <v>7</v>
      </c>
      <c r="T20" s="46" t="s">
        <v>8</v>
      </c>
      <c r="U20" s="46" t="s">
        <v>9</v>
      </c>
      <c r="V20" s="46" t="s">
        <v>7</v>
      </c>
      <c r="W20" s="46" t="s">
        <v>7</v>
      </c>
      <c r="X20" s="46" t="s">
        <v>9</v>
      </c>
      <c r="Y20" s="46"/>
      <c r="Z20" s="46"/>
      <c r="AA20" s="46"/>
      <c r="AB20" s="46"/>
      <c r="AC20" s="46"/>
      <c r="AD20" s="46"/>
      <c r="AE20" s="46" t="s">
        <v>9</v>
      </c>
      <c r="AF20" s="46" t="s">
        <v>9</v>
      </c>
      <c r="AG20" s="46" t="s">
        <v>10</v>
      </c>
      <c r="AH20" s="46" t="s">
        <v>10</v>
      </c>
      <c r="AI20" s="46"/>
      <c r="AJ20" s="46"/>
      <c r="AK20" s="46"/>
      <c r="AL20" s="46"/>
    </row>
    <row r="21" spans="1:39">
      <c r="A21" s="2"/>
      <c r="B21" s="2"/>
      <c r="C21" s="34">
        <f>AVERAGE(C16:C20)</f>
        <v>6.5</v>
      </c>
      <c r="D21" s="34"/>
      <c r="E21" s="34"/>
      <c r="F21" s="83">
        <f>AVERAGE(F16:F20)</f>
        <v>10.75</v>
      </c>
      <c r="G21" s="83">
        <f>AVERAGE(G16:G20)</f>
        <v>4.25</v>
      </c>
      <c r="H21" s="84">
        <f>AVERAGE(H16:H20)</f>
        <v>1.6666666666666667</v>
      </c>
      <c r="I21" s="84">
        <f>AVERAGE(I16:I20)</f>
        <v>0.60833333333333328</v>
      </c>
      <c r="K21" s="46"/>
      <c r="L21" s="46"/>
      <c r="M21" s="46"/>
      <c r="N21" s="46"/>
      <c r="O21" s="46"/>
      <c r="P21" s="46"/>
      <c r="Q21" s="46" t="s">
        <v>7</v>
      </c>
      <c r="R21" s="46" t="s">
        <v>8</v>
      </c>
      <c r="S21" s="46" t="s">
        <v>8</v>
      </c>
      <c r="T21" s="46" t="s">
        <v>9</v>
      </c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9">
      <c r="A22" s="2"/>
      <c r="B22" s="2"/>
      <c r="C22" s="2"/>
      <c r="D22" s="2"/>
      <c r="E22" s="2"/>
      <c r="F22" s="2"/>
      <c r="G22" s="2"/>
      <c r="H22" s="26"/>
      <c r="I22" s="2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9">
      <c r="S23" t="s">
        <v>8</v>
      </c>
      <c r="U23" t="s">
        <v>7</v>
      </c>
      <c r="AI23" t="s">
        <v>10</v>
      </c>
      <c r="AK23" t="s">
        <v>9</v>
      </c>
    </row>
    <row r="24" spans="1:39">
      <c r="K24" s="71" t="s">
        <v>45</v>
      </c>
    </row>
    <row r="25" spans="1:39">
      <c r="A25" s="47" t="s">
        <v>35</v>
      </c>
      <c r="B25" s="47" t="s">
        <v>36</v>
      </c>
      <c r="C25" s="47" t="s">
        <v>37</v>
      </c>
      <c r="D25" s="47" t="s">
        <v>3</v>
      </c>
      <c r="E25" s="47" t="s">
        <v>4</v>
      </c>
      <c r="F25" s="47" t="s">
        <v>5</v>
      </c>
      <c r="G25" s="47" t="s">
        <v>24</v>
      </c>
      <c r="H25" s="47" t="s">
        <v>23</v>
      </c>
      <c r="I25" s="47" t="s">
        <v>62</v>
      </c>
      <c r="K25" s="116" t="s">
        <v>7</v>
      </c>
      <c r="L25" s="116"/>
      <c r="M25" s="116"/>
      <c r="N25" s="116"/>
      <c r="O25" s="116"/>
      <c r="P25" s="117" t="s">
        <v>8</v>
      </c>
      <c r="Q25" s="117"/>
      <c r="R25" s="117"/>
      <c r="S25" s="116" t="s">
        <v>7</v>
      </c>
      <c r="T25" s="116"/>
      <c r="U25" s="120" t="s">
        <v>9</v>
      </c>
      <c r="V25" s="120"/>
      <c r="W25" s="120"/>
      <c r="X25" s="120"/>
      <c r="Y25" s="136"/>
      <c r="Z25" s="120" t="s">
        <v>9</v>
      </c>
      <c r="AA25" s="120"/>
      <c r="AB25" s="120"/>
      <c r="AC25" s="120"/>
      <c r="AD25" s="120"/>
      <c r="AE25" s="135" t="s">
        <v>10</v>
      </c>
      <c r="AF25" s="135"/>
      <c r="AG25" s="135"/>
      <c r="AH25" s="135"/>
      <c r="AI25" s="120" t="s">
        <v>9</v>
      </c>
      <c r="AJ25" s="120"/>
    </row>
    <row r="26" spans="1:39">
      <c r="A26" s="2" t="s">
        <v>7</v>
      </c>
      <c r="B26" s="2">
        <v>0</v>
      </c>
      <c r="C26" s="2">
        <v>7</v>
      </c>
      <c r="D26" s="2">
        <v>0</v>
      </c>
      <c r="E26" s="2">
        <v>10</v>
      </c>
      <c r="F26" s="2">
        <f>E26-B26</f>
        <v>10</v>
      </c>
      <c r="G26" s="2">
        <f>F26-C26</f>
        <v>3</v>
      </c>
      <c r="H26" s="2">
        <f>F26/C26</f>
        <v>1.4285714285714286</v>
      </c>
      <c r="I26" s="2">
        <f>C26/F26</f>
        <v>0.7</v>
      </c>
      <c r="K26" s="94">
        <v>0</v>
      </c>
      <c r="L26" s="94">
        <v>1</v>
      </c>
      <c r="M26" s="94">
        <v>2</v>
      </c>
      <c r="N26" s="94">
        <v>3</v>
      </c>
      <c r="O26" s="94">
        <v>4</v>
      </c>
      <c r="P26" s="94">
        <v>5</v>
      </c>
      <c r="Q26" s="94">
        <v>6</v>
      </c>
      <c r="R26" s="94">
        <v>7</v>
      </c>
      <c r="S26" s="94">
        <v>8</v>
      </c>
      <c r="T26" s="94">
        <v>9</v>
      </c>
      <c r="U26" s="94">
        <v>10</v>
      </c>
      <c r="V26" s="94">
        <v>11</v>
      </c>
      <c r="W26" s="94">
        <v>12</v>
      </c>
      <c r="X26" s="94">
        <v>13</v>
      </c>
      <c r="Y26" s="94">
        <v>14</v>
      </c>
      <c r="Z26" s="94">
        <v>15</v>
      </c>
      <c r="AA26" s="94">
        <v>16</v>
      </c>
      <c r="AB26" s="94">
        <v>17</v>
      </c>
      <c r="AC26" s="94">
        <v>18</v>
      </c>
      <c r="AD26" s="94">
        <v>19</v>
      </c>
      <c r="AE26" s="94">
        <v>20</v>
      </c>
      <c r="AF26" s="94">
        <v>21</v>
      </c>
      <c r="AG26" s="94">
        <v>22</v>
      </c>
      <c r="AH26" s="94">
        <v>23</v>
      </c>
      <c r="AI26" s="94">
        <v>24</v>
      </c>
      <c r="AJ26" s="94">
        <v>25</v>
      </c>
      <c r="AK26" s="94">
        <v>26</v>
      </c>
      <c r="AM26" s="93" t="s">
        <v>64</v>
      </c>
    </row>
    <row r="27" spans="1:39">
      <c r="A27" s="2" t="s">
        <v>8</v>
      </c>
      <c r="B27" s="2">
        <v>2</v>
      </c>
      <c r="C27" s="2">
        <v>3</v>
      </c>
      <c r="D27" s="2">
        <v>5</v>
      </c>
      <c r="E27" s="2">
        <v>8</v>
      </c>
      <c r="F27" s="2">
        <f t="shared" ref="F27:F29" si="8">E27-B27</f>
        <v>6</v>
      </c>
      <c r="G27" s="2">
        <f t="shared" ref="G27:G29" si="9">F27-C27</f>
        <v>3</v>
      </c>
      <c r="H27" s="2">
        <f t="shared" ref="H27:H29" si="10">F27/C27</f>
        <v>2</v>
      </c>
      <c r="I27" s="2">
        <f t="shared" ref="I27:I29" si="11">C27/F27</f>
        <v>0.5</v>
      </c>
    </row>
    <row r="28" spans="1:39">
      <c r="A28" s="2" t="s">
        <v>9</v>
      </c>
      <c r="B28" s="2">
        <v>6</v>
      </c>
      <c r="C28" s="2">
        <v>12</v>
      </c>
      <c r="D28" s="2">
        <v>10</v>
      </c>
      <c r="E28" s="2">
        <v>26</v>
      </c>
      <c r="F28" s="2">
        <f t="shared" si="8"/>
        <v>20</v>
      </c>
      <c r="G28" s="2">
        <f t="shared" si="9"/>
        <v>8</v>
      </c>
      <c r="H28" s="2">
        <f t="shared" si="10"/>
        <v>1.6666666666666667</v>
      </c>
      <c r="I28" s="2">
        <f t="shared" si="11"/>
        <v>0.6</v>
      </c>
      <c r="K28" t="s">
        <v>7</v>
      </c>
      <c r="M28" t="s">
        <v>8</v>
      </c>
      <c r="Q28" t="s">
        <v>9</v>
      </c>
      <c r="AE28" t="s">
        <v>10</v>
      </c>
    </row>
    <row r="29" spans="1:39">
      <c r="A29" s="3" t="s">
        <v>10</v>
      </c>
      <c r="B29" s="3">
        <v>20</v>
      </c>
      <c r="C29" s="3">
        <v>4</v>
      </c>
      <c r="D29" s="3">
        <v>20</v>
      </c>
      <c r="E29" s="3">
        <v>24</v>
      </c>
      <c r="F29" s="3">
        <f t="shared" si="8"/>
        <v>4</v>
      </c>
      <c r="G29" s="3">
        <f t="shared" si="9"/>
        <v>0</v>
      </c>
      <c r="H29" s="3">
        <f t="shared" si="10"/>
        <v>1</v>
      </c>
      <c r="I29" s="3">
        <f t="shared" si="11"/>
        <v>1</v>
      </c>
      <c r="K29" s="46"/>
      <c r="L29" s="46"/>
      <c r="M29" s="46" t="s">
        <v>8</v>
      </c>
      <c r="N29" s="46" t="s">
        <v>8</v>
      </c>
      <c r="O29" s="46" t="s">
        <v>8</v>
      </c>
      <c r="P29" s="46" t="s">
        <v>7</v>
      </c>
      <c r="Q29" s="46" t="s">
        <v>7</v>
      </c>
      <c r="R29" s="46" t="s">
        <v>7</v>
      </c>
      <c r="S29" s="46" t="s">
        <v>9</v>
      </c>
      <c r="T29" s="46" t="s">
        <v>9</v>
      </c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 t="s">
        <v>9</v>
      </c>
      <c r="AF29" s="46" t="s">
        <v>9</v>
      </c>
      <c r="AG29" s="46" t="s">
        <v>9</v>
      </c>
      <c r="AH29" s="46" t="s">
        <v>9</v>
      </c>
      <c r="AI29" s="46"/>
      <c r="AJ29" s="46"/>
      <c r="AK29" s="46"/>
    </row>
    <row r="30" spans="1:39">
      <c r="A30" s="2"/>
      <c r="B30" s="2"/>
      <c r="C30" s="34">
        <f>AVERAGE(C25:C29)</f>
        <v>6.5</v>
      </c>
      <c r="D30" s="34"/>
      <c r="E30" s="34"/>
      <c r="F30" s="34">
        <f>AVERAGE(F25:F29)</f>
        <v>10</v>
      </c>
      <c r="G30" s="34">
        <f>AVERAGE(G25:G29)</f>
        <v>3.5</v>
      </c>
      <c r="H30" s="84">
        <f>AVERAGE(H25:H29)</f>
        <v>1.5238095238095239</v>
      </c>
      <c r="I30" s="84">
        <f>AVERAGE(I25:I29)</f>
        <v>0.7</v>
      </c>
      <c r="K30" s="46"/>
      <c r="L30" s="46"/>
      <c r="M30" s="46"/>
      <c r="N30" s="46"/>
      <c r="O30" s="46"/>
      <c r="P30" s="46"/>
      <c r="Q30" s="46" t="s">
        <v>9</v>
      </c>
      <c r="R30" s="46" t="s">
        <v>9</v>
      </c>
      <c r="S30" s="46" t="s">
        <v>8</v>
      </c>
      <c r="T30" s="46" t="s">
        <v>8</v>
      </c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</row>
    <row r="31" spans="1:39"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</row>
    <row r="32" spans="1:39">
      <c r="AK32" s="46"/>
    </row>
  </sheetData>
  <mergeCells count="20">
    <mergeCell ref="K7:L7"/>
    <mergeCell ref="X7:AD7"/>
    <mergeCell ref="AI7:AJ7"/>
    <mergeCell ref="K16:L16"/>
    <mergeCell ref="M16:N16"/>
    <mergeCell ref="O16:P16"/>
    <mergeCell ref="R16:S16"/>
    <mergeCell ref="T16:U16"/>
    <mergeCell ref="V16:W16"/>
    <mergeCell ref="Y16:AD16"/>
    <mergeCell ref="AE16:AF16"/>
    <mergeCell ref="AG16:AH16"/>
    <mergeCell ref="AI16:AJ16"/>
    <mergeCell ref="AI25:AJ25"/>
    <mergeCell ref="AE25:AH25"/>
    <mergeCell ref="S25:T25"/>
    <mergeCell ref="K25:O25"/>
    <mergeCell ref="P25:R25"/>
    <mergeCell ref="U25:Y25"/>
    <mergeCell ref="Z25:AD2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34"/>
  <sheetViews>
    <sheetView topLeftCell="A4" zoomScale="150" zoomScaleNormal="150" workbookViewId="0">
      <selection activeCell="AY18" sqref="AY18"/>
    </sheetView>
  </sheetViews>
  <sheetFormatPr baseColWidth="10" defaultRowHeight="15"/>
  <cols>
    <col min="2" max="9" width="7.7109375" customWidth="1"/>
    <col min="11" max="56" width="2.7109375" customWidth="1"/>
    <col min="57" max="85" width="3.7109375" customWidth="1"/>
  </cols>
  <sheetData>
    <row r="1" spans="1:58" ht="15.75">
      <c r="A1" s="48" t="s">
        <v>33</v>
      </c>
      <c r="B1" s="49"/>
      <c r="C1" s="49"/>
      <c r="D1" s="49"/>
      <c r="E1" s="49"/>
    </row>
    <row r="2" spans="1:58" ht="15.75">
      <c r="A2" s="52"/>
      <c r="B2" s="49"/>
      <c r="C2" s="49"/>
      <c r="D2" s="49"/>
      <c r="E2" s="49"/>
    </row>
    <row r="3" spans="1:58" ht="15.75">
      <c r="A3" s="49" t="s">
        <v>34</v>
      </c>
      <c r="B3" s="49"/>
      <c r="C3" s="49"/>
      <c r="D3" s="49"/>
      <c r="E3" s="49"/>
    </row>
    <row r="4" spans="1:58" ht="15.75">
      <c r="A4" s="51" t="s">
        <v>47</v>
      </c>
      <c r="B4" s="64"/>
      <c r="C4" s="64"/>
      <c r="D4" s="64"/>
      <c r="E4" s="64"/>
      <c r="F4" s="64"/>
      <c r="G4" s="64"/>
      <c r="H4" s="64"/>
      <c r="I4" s="64"/>
      <c r="J4" s="64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</row>
    <row r="5" spans="1:58" ht="15.75">
      <c r="A5" s="51" t="s">
        <v>49</v>
      </c>
      <c r="B5" s="49"/>
      <c r="C5" s="49"/>
      <c r="D5" s="49"/>
      <c r="E5" s="49"/>
      <c r="Y5" t="s">
        <v>8</v>
      </c>
      <c r="AM5" t="s">
        <v>7</v>
      </c>
      <c r="AW5" t="s">
        <v>10</v>
      </c>
      <c r="BD5" t="s">
        <v>9</v>
      </c>
    </row>
    <row r="6" spans="1:58" ht="15.75">
      <c r="A6" s="49"/>
      <c r="B6" s="49"/>
      <c r="C6" s="49"/>
      <c r="D6" s="49"/>
      <c r="E6" s="49"/>
      <c r="K6" s="71" t="s">
        <v>12</v>
      </c>
    </row>
    <row r="7" spans="1:58">
      <c r="K7" s="116" t="s">
        <v>7</v>
      </c>
      <c r="L7" s="116"/>
      <c r="M7" s="5"/>
      <c r="N7" s="7" t="s">
        <v>8</v>
      </c>
      <c r="O7" s="5"/>
      <c r="P7" s="4" t="s">
        <v>7</v>
      </c>
      <c r="Q7" s="5"/>
      <c r="R7" s="7" t="s">
        <v>8</v>
      </c>
      <c r="S7" s="5"/>
      <c r="T7" s="10" t="s">
        <v>9</v>
      </c>
      <c r="U7" s="5"/>
      <c r="V7" s="4" t="s">
        <v>7</v>
      </c>
      <c r="W7" s="5"/>
      <c r="X7" s="7" t="s">
        <v>8</v>
      </c>
      <c r="Y7" s="5"/>
      <c r="Z7" s="10" t="s">
        <v>9</v>
      </c>
      <c r="AA7" s="5"/>
      <c r="AB7" s="4" t="s">
        <v>7</v>
      </c>
      <c r="AC7" s="5"/>
      <c r="AD7" s="10" t="s">
        <v>9</v>
      </c>
      <c r="AE7" s="5"/>
      <c r="AF7" s="4" t="s">
        <v>7</v>
      </c>
      <c r="AG7" s="5"/>
      <c r="AH7" s="63" t="s">
        <v>10</v>
      </c>
      <c r="AI7" s="5"/>
      <c r="AJ7" s="10" t="s">
        <v>9</v>
      </c>
      <c r="AK7" s="5"/>
      <c r="AL7" s="4" t="s">
        <v>7</v>
      </c>
      <c r="AM7" s="5"/>
      <c r="AN7" s="63" t="s">
        <v>10</v>
      </c>
      <c r="AO7" s="5"/>
      <c r="AP7" s="10" t="s">
        <v>9</v>
      </c>
      <c r="AQ7" s="5"/>
      <c r="AR7" s="63" t="s">
        <v>10</v>
      </c>
      <c r="AS7" s="5"/>
      <c r="AT7" s="10" t="s">
        <v>9</v>
      </c>
      <c r="AU7" s="5"/>
      <c r="AV7" s="63" t="s">
        <v>10</v>
      </c>
      <c r="AW7" s="5"/>
      <c r="AX7" s="120" t="s">
        <v>9</v>
      </c>
      <c r="AY7" s="120"/>
      <c r="AZ7" s="120"/>
      <c r="BA7" s="120"/>
      <c r="BB7" s="120"/>
      <c r="BC7" s="120"/>
    </row>
    <row r="8" spans="1:58">
      <c r="A8" s="47" t="s">
        <v>35</v>
      </c>
      <c r="B8" s="47" t="s">
        <v>36</v>
      </c>
      <c r="C8" s="47" t="s">
        <v>37</v>
      </c>
      <c r="D8" s="47" t="s">
        <v>3</v>
      </c>
      <c r="E8" s="47" t="s">
        <v>4</v>
      </c>
      <c r="F8" s="47" t="s">
        <v>5</v>
      </c>
      <c r="G8" s="47" t="s">
        <v>6</v>
      </c>
      <c r="H8" s="47" t="s">
        <v>38</v>
      </c>
      <c r="I8" s="47" t="s">
        <v>39</v>
      </c>
      <c r="K8" s="94">
        <v>0</v>
      </c>
      <c r="L8" s="94">
        <v>1</v>
      </c>
      <c r="M8" s="94">
        <v>2</v>
      </c>
      <c r="N8" s="94">
        <v>3</v>
      </c>
      <c r="O8" s="94">
        <v>4</v>
      </c>
      <c r="P8" s="94">
        <v>5</v>
      </c>
      <c r="Q8" s="94">
        <v>6</v>
      </c>
      <c r="R8" s="94">
        <v>7</v>
      </c>
      <c r="S8" s="94">
        <v>8</v>
      </c>
      <c r="T8" s="94">
        <v>9</v>
      </c>
      <c r="U8" s="94">
        <v>10</v>
      </c>
      <c r="V8" s="94">
        <v>11</v>
      </c>
      <c r="W8" s="94">
        <v>12</v>
      </c>
      <c r="X8" s="94">
        <v>13</v>
      </c>
      <c r="Y8" s="94">
        <v>14</v>
      </c>
      <c r="Z8" s="94">
        <v>15</v>
      </c>
      <c r="AA8" s="94">
        <v>16</v>
      </c>
      <c r="AB8" s="94">
        <v>17</v>
      </c>
      <c r="AC8" s="94">
        <v>18</v>
      </c>
      <c r="AD8" s="94">
        <v>19</v>
      </c>
      <c r="AE8" s="94">
        <v>20</v>
      </c>
      <c r="AF8" s="94">
        <v>21</v>
      </c>
      <c r="AG8" s="94">
        <v>22</v>
      </c>
      <c r="AH8" s="94">
        <v>23</v>
      </c>
      <c r="AI8" s="94">
        <v>24</v>
      </c>
      <c r="AJ8" s="94">
        <v>25</v>
      </c>
      <c r="AK8" s="94">
        <v>26</v>
      </c>
      <c r="AL8" s="94">
        <v>27</v>
      </c>
      <c r="AM8" s="94">
        <v>28</v>
      </c>
      <c r="AN8" s="94">
        <v>29</v>
      </c>
      <c r="AO8" s="94">
        <v>30</v>
      </c>
      <c r="AP8" s="94">
        <v>31</v>
      </c>
      <c r="AQ8" s="94">
        <v>32</v>
      </c>
      <c r="AR8" s="94">
        <v>33</v>
      </c>
      <c r="AS8" s="94">
        <v>34</v>
      </c>
      <c r="AT8" s="94">
        <v>35</v>
      </c>
      <c r="AU8" s="94">
        <v>36</v>
      </c>
      <c r="AV8" s="94">
        <v>37</v>
      </c>
      <c r="AW8" s="94">
        <v>38</v>
      </c>
      <c r="AX8" s="94">
        <v>39</v>
      </c>
      <c r="AY8" s="94">
        <v>40</v>
      </c>
      <c r="AZ8" s="94">
        <v>41</v>
      </c>
      <c r="BA8" s="94">
        <v>42</v>
      </c>
      <c r="BB8" s="94">
        <v>43</v>
      </c>
      <c r="BC8" s="94">
        <v>44</v>
      </c>
      <c r="BD8" s="94">
        <v>45</v>
      </c>
      <c r="BF8" s="93" t="s">
        <v>64</v>
      </c>
    </row>
    <row r="9" spans="1:58">
      <c r="A9" s="2" t="s">
        <v>7</v>
      </c>
      <c r="B9" s="2">
        <v>0</v>
      </c>
      <c r="C9" s="2">
        <v>7</v>
      </c>
      <c r="D9" s="2">
        <v>0</v>
      </c>
      <c r="E9" s="2">
        <v>28</v>
      </c>
      <c r="F9" s="2">
        <f>E9-B9</f>
        <v>28</v>
      </c>
      <c r="G9" s="2">
        <f>F9-C9</f>
        <v>21</v>
      </c>
      <c r="H9" s="43">
        <f>F9/C9</f>
        <v>4</v>
      </c>
      <c r="I9" s="43">
        <f>C9/F9</f>
        <v>0.25</v>
      </c>
    </row>
    <row r="10" spans="1:58">
      <c r="A10" s="2" t="s">
        <v>8</v>
      </c>
      <c r="B10" s="2">
        <v>2</v>
      </c>
      <c r="C10" s="2">
        <v>3</v>
      </c>
      <c r="D10" s="2">
        <v>3</v>
      </c>
      <c r="E10" s="2">
        <v>14</v>
      </c>
      <c r="F10" s="2">
        <f t="shared" ref="F10:F12" si="0">E10-B10</f>
        <v>12</v>
      </c>
      <c r="G10" s="2">
        <f t="shared" ref="G10:G12" si="1">F10-C10</f>
        <v>9</v>
      </c>
      <c r="H10" s="43">
        <f t="shared" ref="H10:H12" si="2">F10/C10</f>
        <v>4</v>
      </c>
      <c r="I10" s="43">
        <f t="shared" ref="I10:I12" si="3">C10/F10</f>
        <v>0.25</v>
      </c>
      <c r="K10" t="s">
        <v>7</v>
      </c>
      <c r="M10" t="s">
        <v>8</v>
      </c>
      <c r="Q10" t="s">
        <v>9</v>
      </c>
      <c r="AE10" t="s">
        <v>10</v>
      </c>
    </row>
    <row r="11" spans="1:58">
      <c r="A11" s="2" t="s">
        <v>9</v>
      </c>
      <c r="B11" s="2">
        <v>6</v>
      </c>
      <c r="C11" s="2">
        <v>12</v>
      </c>
      <c r="D11" s="2">
        <v>9</v>
      </c>
      <c r="E11" s="2">
        <v>45</v>
      </c>
      <c r="F11" s="2">
        <f t="shared" si="0"/>
        <v>39</v>
      </c>
      <c r="G11" s="2">
        <f t="shared" si="1"/>
        <v>27</v>
      </c>
      <c r="H11" s="43">
        <f t="shared" si="2"/>
        <v>3.25</v>
      </c>
      <c r="I11" s="43">
        <f t="shared" si="3"/>
        <v>0.30769230769230771</v>
      </c>
      <c r="K11" s="46"/>
      <c r="L11" s="46"/>
      <c r="M11" s="46" t="s">
        <v>8</v>
      </c>
      <c r="N11" s="46" t="s">
        <v>7</v>
      </c>
      <c r="O11" s="46" t="s">
        <v>7</v>
      </c>
      <c r="P11" s="46" t="s">
        <v>8</v>
      </c>
      <c r="Q11" s="46" t="s">
        <v>8</v>
      </c>
      <c r="R11" s="46" t="s">
        <v>9</v>
      </c>
      <c r="S11" s="46" t="s">
        <v>9</v>
      </c>
      <c r="T11" s="46" t="s">
        <v>7</v>
      </c>
      <c r="U11" s="46" t="s">
        <v>7</v>
      </c>
      <c r="V11" s="46" t="s">
        <v>8</v>
      </c>
      <c r="W11" s="46" t="s">
        <v>8</v>
      </c>
      <c r="X11" s="46" t="s">
        <v>9</v>
      </c>
      <c r="Y11" s="46" t="s">
        <v>9</v>
      </c>
      <c r="Z11" s="46" t="s">
        <v>7</v>
      </c>
      <c r="AA11" s="46" t="s">
        <v>7</v>
      </c>
      <c r="AB11" s="46" t="s">
        <v>9</v>
      </c>
      <c r="AC11" s="46" t="s">
        <v>9</v>
      </c>
      <c r="AD11" s="46" t="s">
        <v>7</v>
      </c>
      <c r="AE11" s="46" t="s">
        <v>7</v>
      </c>
      <c r="AF11" s="46" t="s">
        <v>10</v>
      </c>
      <c r="AG11" s="46" t="s">
        <v>10</v>
      </c>
      <c r="AH11" s="46" t="s">
        <v>9</v>
      </c>
      <c r="AI11" s="46" t="s">
        <v>9</v>
      </c>
      <c r="AJ11" s="46" t="s">
        <v>7</v>
      </c>
      <c r="AK11" s="46" t="s">
        <v>7</v>
      </c>
      <c r="AL11" s="46" t="s">
        <v>10</v>
      </c>
      <c r="AM11" s="46" t="s">
        <v>10</v>
      </c>
      <c r="AN11" s="46" t="s">
        <v>9</v>
      </c>
      <c r="AO11" s="46" t="s">
        <v>9</v>
      </c>
      <c r="AP11" s="46" t="s">
        <v>10</v>
      </c>
      <c r="AQ11" s="46" t="s">
        <v>10</v>
      </c>
      <c r="AR11" s="46" t="s">
        <v>9</v>
      </c>
      <c r="AS11" s="46" t="s">
        <v>9</v>
      </c>
      <c r="AT11" s="46" t="s">
        <v>10</v>
      </c>
      <c r="AU11" s="46" t="s">
        <v>10</v>
      </c>
      <c r="AV11" s="46" t="s">
        <v>9</v>
      </c>
      <c r="AW11" s="46" t="s">
        <v>9</v>
      </c>
      <c r="AX11" s="46"/>
      <c r="AY11" s="46"/>
      <c r="AZ11" s="46"/>
      <c r="BA11" s="46"/>
      <c r="BB11" s="46"/>
      <c r="BC11" s="46"/>
      <c r="BD11" s="46"/>
    </row>
    <row r="12" spans="1:58">
      <c r="A12" s="3" t="s">
        <v>10</v>
      </c>
      <c r="B12" s="3">
        <v>20</v>
      </c>
      <c r="C12" s="3">
        <v>4</v>
      </c>
      <c r="D12" s="3">
        <v>23</v>
      </c>
      <c r="E12" s="3">
        <v>38</v>
      </c>
      <c r="F12" s="3">
        <f t="shared" si="0"/>
        <v>18</v>
      </c>
      <c r="G12" s="3">
        <f t="shared" si="1"/>
        <v>14</v>
      </c>
      <c r="H12" s="44">
        <f t="shared" si="2"/>
        <v>4.5</v>
      </c>
      <c r="I12" s="44">
        <f t="shared" si="3"/>
        <v>0.22222222222222221</v>
      </c>
      <c r="K12" s="46"/>
      <c r="L12" s="46"/>
      <c r="M12" s="46" t="s">
        <v>7</v>
      </c>
      <c r="N12" s="46"/>
      <c r="O12" s="46" t="s">
        <v>8</v>
      </c>
      <c r="P12" s="46"/>
      <c r="Q12" s="46" t="s">
        <v>9</v>
      </c>
      <c r="R12" s="46" t="s">
        <v>7</v>
      </c>
      <c r="S12" s="46" t="s">
        <v>7</v>
      </c>
      <c r="T12" s="46" t="s">
        <v>8</v>
      </c>
      <c r="U12" s="46" t="s">
        <v>8</v>
      </c>
      <c r="V12" s="46" t="s">
        <v>9</v>
      </c>
      <c r="W12" s="46" t="s">
        <v>9</v>
      </c>
      <c r="X12" s="46" t="s">
        <v>7</v>
      </c>
      <c r="Y12" s="46" t="s">
        <v>7</v>
      </c>
      <c r="Z12" s="46"/>
      <c r="AA12" s="46" t="s">
        <v>9</v>
      </c>
      <c r="AC12" s="46" t="s">
        <v>7</v>
      </c>
      <c r="AD12" s="46"/>
      <c r="AE12" s="46" t="s">
        <v>10</v>
      </c>
      <c r="AF12" s="46" t="s">
        <v>9</v>
      </c>
      <c r="AG12" s="46" t="s">
        <v>9</v>
      </c>
      <c r="AH12" s="46" t="s">
        <v>7</v>
      </c>
      <c r="AI12" s="46" t="s">
        <v>7</v>
      </c>
      <c r="AJ12" s="46" t="s">
        <v>10</v>
      </c>
      <c r="AK12" s="46" t="s">
        <v>10</v>
      </c>
      <c r="AL12" s="46" t="s">
        <v>9</v>
      </c>
      <c r="AM12" s="46" t="s">
        <v>9</v>
      </c>
      <c r="AO12" s="46" t="s">
        <v>10</v>
      </c>
      <c r="AQ12" s="46" t="s">
        <v>9</v>
      </c>
      <c r="AS12" s="46" t="s">
        <v>10</v>
      </c>
      <c r="AT12" s="46"/>
      <c r="AU12" s="46" t="s">
        <v>9</v>
      </c>
      <c r="AV12" s="46"/>
      <c r="AW12" s="46"/>
      <c r="AX12" s="46"/>
      <c r="AY12" s="46"/>
      <c r="AZ12" s="46"/>
      <c r="BA12" s="46"/>
      <c r="BB12" s="46"/>
      <c r="BC12" s="46"/>
      <c r="BD12" s="46"/>
    </row>
    <row r="13" spans="1:58">
      <c r="A13" s="2"/>
      <c r="B13" s="2"/>
      <c r="C13" s="34">
        <f>AVERAGE(C8:C12)</f>
        <v>6.5</v>
      </c>
      <c r="D13" s="34"/>
      <c r="E13" s="34"/>
      <c r="F13" s="34">
        <f>AVERAGE(F8:F12)</f>
        <v>24.25</v>
      </c>
      <c r="G13" s="84">
        <f>AVERAGE(G8:G12)</f>
        <v>17.75</v>
      </c>
      <c r="H13" s="84">
        <f>AVERAGE(H8:H12)</f>
        <v>3.9375</v>
      </c>
      <c r="I13" s="84">
        <f>AVERAGE(I8:I12)</f>
        <v>0.25747863247863245</v>
      </c>
      <c r="K13" s="46"/>
      <c r="L13" s="46"/>
      <c r="M13" s="46"/>
      <c r="N13" s="46"/>
      <c r="O13" s="46"/>
      <c r="P13" s="46"/>
      <c r="Q13" s="46" t="s">
        <v>7</v>
      </c>
      <c r="R13" s="46"/>
      <c r="S13" s="46" t="s">
        <v>8</v>
      </c>
      <c r="T13" s="46"/>
      <c r="U13" s="46" t="s">
        <v>9</v>
      </c>
      <c r="V13" s="46"/>
      <c r="W13" s="46" t="s">
        <v>7</v>
      </c>
      <c r="X13" s="46"/>
      <c r="Y13" s="46"/>
      <c r="Z13" s="46"/>
      <c r="AB13" s="46"/>
      <c r="AC13" s="46"/>
      <c r="AD13" s="46"/>
      <c r="AE13" s="46" t="s">
        <v>9</v>
      </c>
      <c r="AF13" s="46"/>
      <c r="AG13" s="46" t="s">
        <v>7</v>
      </c>
      <c r="AH13" s="46"/>
      <c r="AI13" s="46" t="s">
        <v>10</v>
      </c>
      <c r="AJ13" s="46"/>
      <c r="AK13" s="46" t="s">
        <v>9</v>
      </c>
    </row>
    <row r="14" spans="1:58">
      <c r="A14" s="2"/>
      <c r="B14" s="2"/>
      <c r="C14" s="2"/>
      <c r="D14" s="2"/>
      <c r="E14" s="2"/>
      <c r="F14" s="2"/>
      <c r="G14" s="26"/>
      <c r="H14" s="26"/>
      <c r="I14" s="2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</row>
    <row r="15" spans="1:58">
      <c r="H15" s="65"/>
      <c r="I15" s="65"/>
      <c r="X15" t="s">
        <v>8</v>
      </c>
      <c r="AF15" t="s">
        <v>7</v>
      </c>
      <c r="AR15" t="s">
        <v>10</v>
      </c>
      <c r="AW15" t="s">
        <v>9</v>
      </c>
    </row>
    <row r="16" spans="1:58">
      <c r="H16" s="65"/>
      <c r="I16" s="65"/>
      <c r="K16" s="71" t="s">
        <v>44</v>
      </c>
    </row>
    <row r="17" spans="1:55">
      <c r="A17" s="47" t="s">
        <v>35</v>
      </c>
      <c r="B17" s="47" t="s">
        <v>36</v>
      </c>
      <c r="C17" s="47" t="s">
        <v>37</v>
      </c>
      <c r="D17" s="47" t="s">
        <v>3</v>
      </c>
      <c r="E17" s="47" t="s">
        <v>4</v>
      </c>
      <c r="F17" s="47" t="s">
        <v>5</v>
      </c>
      <c r="G17" s="47" t="s">
        <v>6</v>
      </c>
      <c r="H17" s="66" t="s">
        <v>38</v>
      </c>
      <c r="I17" s="66" t="s">
        <v>39</v>
      </c>
      <c r="K17" s="116" t="s">
        <v>7</v>
      </c>
      <c r="L17" s="116"/>
      <c r="M17" s="5"/>
      <c r="N17" s="117" t="s">
        <v>8</v>
      </c>
      <c r="O17" s="117"/>
      <c r="P17" s="5"/>
      <c r="Q17" s="116" t="s">
        <v>7</v>
      </c>
      <c r="R17" s="116"/>
      <c r="S17" s="5"/>
      <c r="T17" s="120" t="s">
        <v>9</v>
      </c>
      <c r="U17" s="120"/>
      <c r="V17" s="5"/>
      <c r="W17" s="7" t="s">
        <v>8</v>
      </c>
      <c r="X17" s="5"/>
      <c r="Y17" s="116" t="s">
        <v>7</v>
      </c>
      <c r="Z17" s="116"/>
      <c r="AA17" s="5"/>
      <c r="AB17" s="120" t="s">
        <v>9</v>
      </c>
      <c r="AC17" s="120"/>
      <c r="AD17" s="5"/>
      <c r="AE17" s="4" t="s">
        <v>7</v>
      </c>
      <c r="AF17" s="5"/>
      <c r="AG17" s="120" t="s">
        <v>9</v>
      </c>
      <c r="AH17" s="120"/>
      <c r="AI17" s="5"/>
      <c r="AJ17" s="135" t="s">
        <v>10</v>
      </c>
      <c r="AK17" s="135"/>
      <c r="AL17" s="5"/>
      <c r="AM17" s="120" t="s">
        <v>9</v>
      </c>
      <c r="AN17" s="120"/>
      <c r="AO17" s="5"/>
      <c r="AP17" s="135" t="s">
        <v>10</v>
      </c>
      <c r="AQ17" s="135"/>
      <c r="AR17" s="5"/>
      <c r="AS17" s="120" t="s">
        <v>9</v>
      </c>
      <c r="AT17" s="120"/>
      <c r="AU17" s="120"/>
      <c r="AV17" s="120"/>
    </row>
    <row r="18" spans="1:55">
      <c r="A18" s="2" t="s">
        <v>7</v>
      </c>
      <c r="B18" s="2">
        <v>0</v>
      </c>
      <c r="C18" s="2">
        <v>7</v>
      </c>
      <c r="D18" s="2">
        <v>0</v>
      </c>
      <c r="E18" s="2">
        <v>21</v>
      </c>
      <c r="F18" s="2">
        <f>E18-B18</f>
        <v>21</v>
      </c>
      <c r="G18" s="2">
        <f>F18-C18</f>
        <v>14</v>
      </c>
      <c r="H18" s="43">
        <f>F18/C18</f>
        <v>3</v>
      </c>
      <c r="I18" s="43">
        <f>C18/F18</f>
        <v>0.33333333333333331</v>
      </c>
      <c r="K18" s="94">
        <v>0</v>
      </c>
      <c r="L18" s="94">
        <v>1</v>
      </c>
      <c r="M18" s="94">
        <v>2</v>
      </c>
      <c r="N18" s="94">
        <v>3</v>
      </c>
      <c r="O18" s="94">
        <v>4</v>
      </c>
      <c r="P18" s="94">
        <v>5</v>
      </c>
      <c r="Q18" s="94">
        <v>6</v>
      </c>
      <c r="R18" s="94">
        <v>7</v>
      </c>
      <c r="S18" s="94">
        <v>8</v>
      </c>
      <c r="T18" s="94">
        <v>9</v>
      </c>
      <c r="U18" s="94">
        <v>10</v>
      </c>
      <c r="V18" s="94">
        <v>11</v>
      </c>
      <c r="W18" s="94">
        <v>12</v>
      </c>
      <c r="X18" s="94">
        <v>13</v>
      </c>
      <c r="Y18" s="94">
        <v>14</v>
      </c>
      <c r="Z18" s="94">
        <v>15</v>
      </c>
      <c r="AA18" s="94">
        <v>16</v>
      </c>
      <c r="AB18" s="94">
        <v>17</v>
      </c>
      <c r="AC18" s="94">
        <v>18</v>
      </c>
      <c r="AD18" s="94">
        <v>19</v>
      </c>
      <c r="AE18" s="94">
        <v>20</v>
      </c>
      <c r="AF18" s="94">
        <v>21</v>
      </c>
      <c r="AG18" s="94">
        <v>22</v>
      </c>
      <c r="AH18" s="94">
        <v>23</v>
      </c>
      <c r="AI18" s="94">
        <v>24</v>
      </c>
      <c r="AJ18" s="94">
        <v>25</v>
      </c>
      <c r="AK18" s="94">
        <v>26</v>
      </c>
      <c r="AL18" s="94">
        <v>27</v>
      </c>
      <c r="AM18" s="94">
        <v>28</v>
      </c>
      <c r="AN18" s="94">
        <v>29</v>
      </c>
      <c r="AO18" s="94">
        <v>30</v>
      </c>
      <c r="AP18" s="94">
        <v>31</v>
      </c>
      <c r="AQ18" s="94">
        <v>32</v>
      </c>
      <c r="AR18" s="94">
        <v>33</v>
      </c>
      <c r="AS18" s="94">
        <v>34</v>
      </c>
      <c r="AT18" s="94">
        <v>35</v>
      </c>
      <c r="AU18" s="94">
        <v>36</v>
      </c>
      <c r="AV18" s="94">
        <v>37</v>
      </c>
      <c r="AW18" s="94">
        <v>38</v>
      </c>
      <c r="AX18" s="11"/>
      <c r="AY18" s="93" t="s">
        <v>64</v>
      </c>
      <c r="AZ18" s="11"/>
      <c r="BA18" s="11"/>
      <c r="BB18" s="11"/>
      <c r="BC18" s="11"/>
    </row>
    <row r="19" spans="1:55">
      <c r="A19" s="2" t="s">
        <v>8</v>
      </c>
      <c r="B19" s="2">
        <v>2</v>
      </c>
      <c r="C19" s="2">
        <v>3</v>
      </c>
      <c r="D19" s="2">
        <v>3</v>
      </c>
      <c r="E19" s="2">
        <v>13</v>
      </c>
      <c r="F19" s="2">
        <f t="shared" ref="F19:F21" si="4">E19-B19</f>
        <v>11</v>
      </c>
      <c r="G19" s="2">
        <f t="shared" ref="G19:G21" si="5">F19-C19</f>
        <v>8</v>
      </c>
      <c r="H19" s="43">
        <f t="shared" ref="H19:H21" si="6">F19/C19</f>
        <v>3.6666666666666665</v>
      </c>
      <c r="I19" s="43">
        <f t="shared" ref="I19:I21" si="7">C19/F19</f>
        <v>0.27272727272727271</v>
      </c>
    </row>
    <row r="20" spans="1:55">
      <c r="A20" s="2" t="s">
        <v>9</v>
      </c>
      <c r="B20" s="2">
        <v>6</v>
      </c>
      <c r="C20" s="2">
        <v>12</v>
      </c>
      <c r="D20" s="2">
        <v>9</v>
      </c>
      <c r="E20" s="2">
        <v>38</v>
      </c>
      <c r="F20" s="2">
        <f t="shared" si="4"/>
        <v>32</v>
      </c>
      <c r="G20" s="2">
        <f t="shared" si="5"/>
        <v>20</v>
      </c>
      <c r="H20" s="43">
        <f t="shared" si="6"/>
        <v>2.6666666666666665</v>
      </c>
      <c r="I20" s="43">
        <f t="shared" si="7"/>
        <v>0.375</v>
      </c>
      <c r="K20" t="s">
        <v>7</v>
      </c>
      <c r="M20" t="s">
        <v>8</v>
      </c>
      <c r="Q20" t="s">
        <v>9</v>
      </c>
      <c r="AE20" t="s">
        <v>10</v>
      </c>
    </row>
    <row r="21" spans="1:55">
      <c r="A21" s="3" t="s">
        <v>10</v>
      </c>
      <c r="B21" s="3">
        <v>20</v>
      </c>
      <c r="C21" s="3">
        <v>4</v>
      </c>
      <c r="D21" s="3">
        <v>25</v>
      </c>
      <c r="E21" s="3">
        <v>33</v>
      </c>
      <c r="F21" s="3">
        <f t="shared" si="4"/>
        <v>13</v>
      </c>
      <c r="G21" s="3">
        <f t="shared" si="5"/>
        <v>9</v>
      </c>
      <c r="H21" s="44">
        <f t="shared" si="6"/>
        <v>3.25</v>
      </c>
      <c r="I21" s="44">
        <f t="shared" si="7"/>
        <v>0.30769230769230771</v>
      </c>
      <c r="K21" s="46"/>
      <c r="L21" s="46"/>
      <c r="M21" s="46" t="s">
        <v>8</v>
      </c>
      <c r="N21" s="46" t="s">
        <v>7</v>
      </c>
      <c r="O21" s="46" t="s">
        <v>7</v>
      </c>
      <c r="P21" s="46" t="s">
        <v>7</v>
      </c>
      <c r="Q21" s="46" t="s">
        <v>9</v>
      </c>
      <c r="R21" s="46" t="s">
        <v>9</v>
      </c>
      <c r="S21" s="46" t="s">
        <v>9</v>
      </c>
      <c r="T21" s="46" t="s">
        <v>8</v>
      </c>
      <c r="U21" s="46" t="s">
        <v>8</v>
      </c>
      <c r="V21" s="46" t="s">
        <v>8</v>
      </c>
      <c r="W21" s="46" t="s">
        <v>7</v>
      </c>
      <c r="X21" s="46" t="s">
        <v>7</v>
      </c>
      <c r="Y21" s="46" t="s">
        <v>9</v>
      </c>
      <c r="Z21" s="46" t="s">
        <v>9</v>
      </c>
      <c r="AA21" s="46" t="s">
        <v>9</v>
      </c>
      <c r="AB21" s="46" t="s">
        <v>7</v>
      </c>
      <c r="AC21" s="46" t="s">
        <v>7</v>
      </c>
      <c r="AD21" s="46" t="s">
        <v>7</v>
      </c>
      <c r="AE21" s="46" t="s">
        <v>9</v>
      </c>
      <c r="AF21" s="46" t="s">
        <v>9</v>
      </c>
      <c r="AG21" s="46" t="s">
        <v>10</v>
      </c>
      <c r="AH21" s="46" t="s">
        <v>10</v>
      </c>
      <c r="AI21" s="46" t="s">
        <v>10</v>
      </c>
      <c r="AJ21" s="46" t="s">
        <v>9</v>
      </c>
      <c r="AK21" s="46" t="s">
        <v>9</v>
      </c>
      <c r="AL21" s="46" t="s">
        <v>9</v>
      </c>
      <c r="AM21" s="46" t="s">
        <v>10</v>
      </c>
      <c r="AN21" s="46" t="s">
        <v>10</v>
      </c>
      <c r="AO21" s="46" t="s">
        <v>10</v>
      </c>
      <c r="AP21" s="46" t="s">
        <v>9</v>
      </c>
      <c r="AQ21" s="46" t="s">
        <v>9</v>
      </c>
      <c r="AR21" s="46" t="s">
        <v>9</v>
      </c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</row>
    <row r="22" spans="1:55">
      <c r="A22" s="2"/>
      <c r="B22" s="2"/>
      <c r="C22" s="34">
        <f>AVERAGE(C17:C21)</f>
        <v>6.5</v>
      </c>
      <c r="D22" s="34"/>
      <c r="E22" s="34"/>
      <c r="F22" s="34">
        <f>AVERAGE(F17:F21)</f>
        <v>19.25</v>
      </c>
      <c r="G22" s="34">
        <f>AVERAGE(G17:G21)</f>
        <v>12.75</v>
      </c>
      <c r="H22" s="84">
        <f>AVERAGE(H17:H21)</f>
        <v>3.145833333333333</v>
      </c>
      <c r="I22" s="84">
        <f>AVERAGE(I17:I21)</f>
        <v>0.32218822843822842</v>
      </c>
      <c r="K22" s="46"/>
      <c r="L22" s="46"/>
      <c r="M22" s="46" t="s">
        <v>7</v>
      </c>
      <c r="N22" s="46"/>
      <c r="O22" s="46"/>
      <c r="P22" s="46"/>
      <c r="Q22" s="46" t="s">
        <v>8</v>
      </c>
      <c r="R22" s="46" t="s">
        <v>8</v>
      </c>
      <c r="S22" s="46" t="s">
        <v>8</v>
      </c>
      <c r="T22" s="46" t="s">
        <v>7</v>
      </c>
      <c r="U22" s="46" t="s">
        <v>7</v>
      </c>
      <c r="V22" s="46" t="s">
        <v>7</v>
      </c>
      <c r="W22" s="46" t="s">
        <v>9</v>
      </c>
      <c r="X22" s="46" t="s">
        <v>9</v>
      </c>
      <c r="Y22" s="46"/>
      <c r="Z22" s="46"/>
      <c r="AA22" s="46" t="s">
        <v>7</v>
      </c>
      <c r="AB22" s="46"/>
      <c r="AC22" s="46"/>
      <c r="AD22" s="46" t="s">
        <v>9</v>
      </c>
      <c r="AE22" s="46" t="s">
        <v>10</v>
      </c>
      <c r="AF22" s="46" t="s">
        <v>10</v>
      </c>
      <c r="AG22" s="46"/>
      <c r="AH22" s="46"/>
      <c r="AI22" s="46" t="s">
        <v>9</v>
      </c>
      <c r="AJ22" s="46"/>
      <c r="AK22" s="46"/>
      <c r="AL22" s="46" t="s">
        <v>10</v>
      </c>
      <c r="AM22" s="46"/>
      <c r="AN22" s="46"/>
      <c r="AO22" s="46" t="s">
        <v>9</v>
      </c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</row>
    <row r="23" spans="1:55">
      <c r="H23" s="65"/>
      <c r="I23" s="65"/>
      <c r="K23" s="46"/>
      <c r="L23" s="46"/>
      <c r="M23" s="46"/>
      <c r="N23" s="46"/>
      <c r="O23" s="46"/>
      <c r="P23" s="46"/>
      <c r="Q23" s="46"/>
      <c r="R23" s="46"/>
      <c r="S23" s="46" t="s">
        <v>7</v>
      </c>
      <c r="T23" s="46"/>
      <c r="U23" s="46"/>
      <c r="V23" s="46"/>
      <c r="W23" s="46"/>
      <c r="X23" s="46"/>
      <c r="Y23" s="46"/>
      <c r="Z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</row>
    <row r="24" spans="1:55">
      <c r="H24" s="65"/>
      <c r="I24" s="65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</row>
    <row r="25" spans="1:55">
      <c r="H25" s="65"/>
      <c r="I25" s="65"/>
      <c r="K25" s="68"/>
      <c r="L25" s="68"/>
      <c r="M25" s="68"/>
      <c r="N25" s="68"/>
      <c r="O25" s="68"/>
      <c r="P25" s="68"/>
      <c r="Q25" s="68"/>
      <c r="R25" s="68"/>
      <c r="S25" s="68"/>
      <c r="T25" s="68" t="s">
        <v>8</v>
      </c>
      <c r="U25" s="68"/>
      <c r="V25" s="68"/>
      <c r="W25" s="68" t="s">
        <v>7</v>
      </c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 t="s">
        <v>10</v>
      </c>
      <c r="AN25" s="68"/>
      <c r="AO25" s="68"/>
      <c r="AP25" s="68" t="s">
        <v>9</v>
      </c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</row>
    <row r="26" spans="1:55">
      <c r="H26" s="65"/>
      <c r="I26" s="65"/>
      <c r="K26" s="71" t="s">
        <v>45</v>
      </c>
    </row>
    <row r="27" spans="1:55">
      <c r="A27" s="47" t="s">
        <v>35</v>
      </c>
      <c r="B27" s="47" t="s">
        <v>36</v>
      </c>
      <c r="C27" s="47" t="s">
        <v>37</v>
      </c>
      <c r="D27" s="47" t="s">
        <v>3</v>
      </c>
      <c r="E27" s="47" t="s">
        <v>4</v>
      </c>
      <c r="F27" s="47" t="s">
        <v>5</v>
      </c>
      <c r="G27" s="47" t="s">
        <v>6</v>
      </c>
      <c r="H27" s="66" t="s">
        <v>38</v>
      </c>
      <c r="I27" s="66" t="s">
        <v>39</v>
      </c>
      <c r="K27" s="116" t="s">
        <v>7</v>
      </c>
      <c r="L27" s="116"/>
      <c r="M27" s="116"/>
      <c r="N27" s="116"/>
      <c r="O27" s="116"/>
      <c r="P27" s="5"/>
      <c r="Q27" s="117" t="s">
        <v>8</v>
      </c>
      <c r="R27" s="117"/>
      <c r="S27" s="117"/>
      <c r="T27" s="5"/>
      <c r="U27" s="116" t="s">
        <v>7</v>
      </c>
      <c r="V27" s="116"/>
      <c r="W27" s="5"/>
      <c r="X27" s="120" t="s">
        <v>9</v>
      </c>
      <c r="Y27" s="120"/>
      <c r="Z27" s="120"/>
      <c r="AA27" s="120"/>
      <c r="AB27" s="136"/>
      <c r="AC27" s="137" t="s">
        <v>9</v>
      </c>
      <c r="AD27" s="120"/>
      <c r="AE27" s="120"/>
      <c r="AF27" s="120"/>
      <c r="AG27" s="136"/>
      <c r="AH27" s="5"/>
      <c r="AI27" s="63" t="s">
        <v>10</v>
      </c>
      <c r="AJ27" s="63"/>
      <c r="AK27" s="63"/>
      <c r="AL27" s="63"/>
      <c r="AM27" s="5"/>
      <c r="AN27" s="120" t="s">
        <v>9</v>
      </c>
      <c r="AO27" s="120"/>
    </row>
    <row r="28" spans="1:55">
      <c r="A28" s="2" t="s">
        <v>7</v>
      </c>
      <c r="B28" s="2">
        <v>0</v>
      </c>
      <c r="C28" s="2">
        <v>7</v>
      </c>
      <c r="D28" s="2">
        <v>0</v>
      </c>
      <c r="E28" s="2">
        <v>12</v>
      </c>
      <c r="F28" s="2">
        <f>E28-D28</f>
        <v>12</v>
      </c>
      <c r="G28" s="2">
        <f>F28-C28</f>
        <v>5</v>
      </c>
      <c r="H28" s="43">
        <f>F28/C28</f>
        <v>1.7142857142857142</v>
      </c>
      <c r="I28" s="43">
        <f>C28/F28</f>
        <v>0.58333333333333337</v>
      </c>
      <c r="K28" s="94">
        <v>0</v>
      </c>
      <c r="L28" s="94">
        <v>1</v>
      </c>
      <c r="M28" s="94">
        <v>2</v>
      </c>
      <c r="N28" s="94">
        <v>3</v>
      </c>
      <c r="O28" s="94">
        <v>4</v>
      </c>
      <c r="P28" s="94">
        <v>5</v>
      </c>
      <c r="Q28" s="94">
        <v>6</v>
      </c>
      <c r="R28" s="94">
        <v>7</v>
      </c>
      <c r="S28" s="94">
        <v>8</v>
      </c>
      <c r="T28" s="94">
        <v>9</v>
      </c>
      <c r="U28" s="94">
        <v>10</v>
      </c>
      <c r="V28" s="94">
        <v>11</v>
      </c>
      <c r="W28" s="94">
        <v>12</v>
      </c>
      <c r="X28" s="94">
        <v>13</v>
      </c>
      <c r="Y28" s="94">
        <v>14</v>
      </c>
      <c r="Z28" s="94">
        <v>15</v>
      </c>
      <c r="AA28" s="94">
        <v>16</v>
      </c>
      <c r="AB28" s="94">
        <v>17</v>
      </c>
      <c r="AC28" s="94">
        <v>18</v>
      </c>
      <c r="AD28" s="94">
        <v>19</v>
      </c>
      <c r="AE28" s="94">
        <v>20</v>
      </c>
      <c r="AF28" s="94">
        <v>21</v>
      </c>
      <c r="AG28" s="94">
        <v>22</v>
      </c>
      <c r="AH28" s="94">
        <v>23</v>
      </c>
      <c r="AI28" s="94">
        <v>24</v>
      </c>
      <c r="AJ28" s="94">
        <v>25</v>
      </c>
      <c r="AK28" s="94">
        <v>26</v>
      </c>
      <c r="AL28" s="94">
        <v>27</v>
      </c>
      <c r="AM28" s="94">
        <v>28</v>
      </c>
      <c r="AN28" s="94">
        <v>29</v>
      </c>
      <c r="AO28" s="94">
        <v>30</v>
      </c>
      <c r="AP28" s="94">
        <v>31</v>
      </c>
      <c r="AR28" s="93" t="s">
        <v>64</v>
      </c>
    </row>
    <row r="29" spans="1:55">
      <c r="A29" s="2" t="s">
        <v>8</v>
      </c>
      <c r="B29" s="2">
        <v>2</v>
      </c>
      <c r="C29" s="2">
        <v>3</v>
      </c>
      <c r="D29" s="2">
        <v>6</v>
      </c>
      <c r="E29" s="2">
        <v>9</v>
      </c>
      <c r="F29" s="2">
        <f t="shared" ref="F29:F31" si="8">E29-D29</f>
        <v>3</v>
      </c>
      <c r="G29" s="2">
        <f t="shared" ref="G29:G31" si="9">F29-C29</f>
        <v>0</v>
      </c>
      <c r="H29" s="43">
        <f t="shared" ref="H29:H31" si="10">F29/C29</f>
        <v>1</v>
      </c>
      <c r="I29" s="43">
        <f t="shared" ref="I29:I31" si="11">C29/F29</f>
        <v>1</v>
      </c>
    </row>
    <row r="30" spans="1:55">
      <c r="A30" s="2" t="s">
        <v>9</v>
      </c>
      <c r="B30" s="2">
        <v>6</v>
      </c>
      <c r="C30" s="2">
        <v>12</v>
      </c>
      <c r="D30" s="2">
        <v>13</v>
      </c>
      <c r="E30" s="2">
        <v>31</v>
      </c>
      <c r="F30" s="2">
        <f t="shared" si="8"/>
        <v>18</v>
      </c>
      <c r="G30" s="2">
        <f t="shared" si="9"/>
        <v>6</v>
      </c>
      <c r="H30" s="43">
        <f t="shared" si="10"/>
        <v>1.5</v>
      </c>
      <c r="I30" s="43">
        <f t="shared" si="11"/>
        <v>0.66666666666666663</v>
      </c>
      <c r="K30" t="s">
        <v>7</v>
      </c>
      <c r="M30" t="s">
        <v>8</v>
      </c>
      <c r="Q30" t="s">
        <v>9</v>
      </c>
      <c r="AE30" t="s">
        <v>10</v>
      </c>
    </row>
    <row r="31" spans="1:55">
      <c r="A31" s="3" t="s">
        <v>10</v>
      </c>
      <c r="B31" s="3">
        <v>20</v>
      </c>
      <c r="C31" s="3">
        <v>4</v>
      </c>
      <c r="D31" s="3">
        <v>24</v>
      </c>
      <c r="E31" s="3">
        <v>28</v>
      </c>
      <c r="F31" s="3">
        <f t="shared" si="8"/>
        <v>4</v>
      </c>
      <c r="G31" s="3">
        <f t="shared" si="9"/>
        <v>0</v>
      </c>
      <c r="H31" s="44">
        <f t="shared" si="10"/>
        <v>1</v>
      </c>
      <c r="I31" s="44">
        <f t="shared" si="11"/>
        <v>1</v>
      </c>
      <c r="K31" s="46"/>
      <c r="L31" s="46"/>
      <c r="M31" s="46" t="s">
        <v>8</v>
      </c>
      <c r="N31" s="46" t="s">
        <v>8</v>
      </c>
      <c r="O31" s="46" t="s">
        <v>8</v>
      </c>
      <c r="P31" s="46" t="s">
        <v>8</v>
      </c>
      <c r="Q31" s="46" t="s">
        <v>7</v>
      </c>
      <c r="R31" s="46" t="s">
        <v>7</v>
      </c>
      <c r="S31" s="46" t="s">
        <v>7</v>
      </c>
      <c r="T31" s="46" t="s">
        <v>7</v>
      </c>
      <c r="U31" s="46" t="s">
        <v>9</v>
      </c>
      <c r="V31" s="46" t="s">
        <v>9</v>
      </c>
      <c r="W31" s="46" t="s">
        <v>9</v>
      </c>
      <c r="X31" s="46"/>
      <c r="Y31" s="46"/>
      <c r="Z31" s="46"/>
      <c r="AA31" s="46"/>
      <c r="AB31" s="46"/>
      <c r="AC31" s="46"/>
      <c r="AD31" s="46"/>
      <c r="AE31" s="46" t="s">
        <v>10</v>
      </c>
      <c r="AF31" s="46" t="s">
        <v>10</v>
      </c>
      <c r="AG31" s="46" t="s">
        <v>10</v>
      </c>
      <c r="AH31" s="46" t="s">
        <v>10</v>
      </c>
      <c r="AI31" s="46" t="s">
        <v>9</v>
      </c>
      <c r="AJ31" s="46" t="s">
        <v>9</v>
      </c>
      <c r="AK31" s="46" t="s">
        <v>9</v>
      </c>
      <c r="AL31" s="46" t="s">
        <v>9</v>
      </c>
      <c r="AM31" s="46" t="s">
        <v>9</v>
      </c>
    </row>
    <row r="32" spans="1:55">
      <c r="A32" s="2"/>
      <c r="B32" s="2"/>
      <c r="C32" s="2">
        <f>AVERAGE(C27:C31)</f>
        <v>6.5</v>
      </c>
      <c r="D32" s="2"/>
      <c r="E32" s="2"/>
      <c r="F32" s="2">
        <f>AVERAGE(F27:F31)</f>
        <v>9.25</v>
      </c>
      <c r="G32" s="2">
        <f>AVERAGE(G27:G31)</f>
        <v>2.75</v>
      </c>
      <c r="H32" s="26">
        <f>AVERAGE(H27:H31)</f>
        <v>1.3035714285714286</v>
      </c>
      <c r="I32" s="26">
        <f>AVERAGE(I27:I31)</f>
        <v>0.8125</v>
      </c>
      <c r="K32" s="46"/>
      <c r="L32" s="46"/>
      <c r="M32" s="46"/>
      <c r="N32" s="46"/>
      <c r="O32" s="46"/>
      <c r="P32" s="46" t="s">
        <v>7</v>
      </c>
      <c r="Q32" s="46" t="s">
        <v>9</v>
      </c>
      <c r="R32" s="46" t="s">
        <v>9</v>
      </c>
      <c r="S32" s="46" t="s">
        <v>9</v>
      </c>
      <c r="T32" s="46" t="s">
        <v>9</v>
      </c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 t="s">
        <v>9</v>
      </c>
      <c r="AI32" s="46"/>
      <c r="AJ32" s="46"/>
      <c r="AK32" s="46"/>
    </row>
    <row r="33" spans="11:37"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</row>
    <row r="34" spans="11:37"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</row>
  </sheetData>
  <mergeCells count="19">
    <mergeCell ref="K7:L7"/>
    <mergeCell ref="K17:L17"/>
    <mergeCell ref="T17:U17"/>
    <mergeCell ref="AN27:AO27"/>
    <mergeCell ref="X27:AB27"/>
    <mergeCell ref="AC27:AG27"/>
    <mergeCell ref="U27:V27"/>
    <mergeCell ref="Q27:S27"/>
    <mergeCell ref="K27:O27"/>
    <mergeCell ref="AX7:BC7"/>
    <mergeCell ref="Q17:R17"/>
    <mergeCell ref="N17:O17"/>
    <mergeCell ref="Y17:Z17"/>
    <mergeCell ref="AB17:AC17"/>
    <mergeCell ref="AJ17:AK17"/>
    <mergeCell ref="AM17:AN17"/>
    <mergeCell ref="AP17:AQ17"/>
    <mergeCell ref="AS17:AV17"/>
    <mergeCell ref="AG17:AH17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F20E-C4D2-4E0A-BC13-A46CB6DC6360}">
  <dimension ref="A1:AO45"/>
  <sheetViews>
    <sheetView topLeftCell="D4" zoomScale="130" zoomScaleNormal="130" workbookViewId="0">
      <selection activeCell="K5" sqref="K5:K7"/>
    </sheetView>
  </sheetViews>
  <sheetFormatPr baseColWidth="10" defaultRowHeight="15"/>
  <cols>
    <col min="7" max="7" width="11.85546875" bestFit="1" customWidth="1"/>
    <col min="11" max="11" width="16.140625" style="36" customWidth="1"/>
    <col min="12" max="42" width="3.7109375" customWidth="1"/>
  </cols>
  <sheetData>
    <row r="1" spans="1:39">
      <c r="A1" s="75" t="s">
        <v>65</v>
      </c>
    </row>
    <row r="2" spans="1:39">
      <c r="A2" s="75" t="s">
        <v>66</v>
      </c>
      <c r="L2" s="68" t="s">
        <v>7</v>
      </c>
      <c r="M2" s="68" t="s">
        <v>8</v>
      </c>
      <c r="N2" s="68" t="s">
        <v>9</v>
      </c>
      <c r="O2" s="68"/>
      <c r="P2" s="68" t="s">
        <v>10</v>
      </c>
      <c r="Q2" s="68"/>
      <c r="R2" s="68" t="s">
        <v>11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</row>
    <row r="3" spans="1:39">
      <c r="A3" s="85" t="s">
        <v>35</v>
      </c>
      <c r="B3" s="85" t="s">
        <v>36</v>
      </c>
      <c r="C3" s="85" t="s">
        <v>37</v>
      </c>
      <c r="D3" s="85" t="s">
        <v>3</v>
      </c>
      <c r="E3" s="85" t="s">
        <v>4</v>
      </c>
      <c r="F3" s="85" t="s">
        <v>5</v>
      </c>
      <c r="G3" s="85" t="s">
        <v>6</v>
      </c>
      <c r="H3" s="85" t="s">
        <v>38</v>
      </c>
      <c r="I3" s="85" t="s">
        <v>39</v>
      </c>
      <c r="J3" s="2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</row>
    <row r="4" spans="1:39">
      <c r="A4" s="86" t="s">
        <v>7</v>
      </c>
      <c r="B4" s="86">
        <v>0</v>
      </c>
      <c r="C4" s="86">
        <v>4</v>
      </c>
      <c r="D4" s="87">
        <v>0</v>
      </c>
      <c r="E4" s="87">
        <v>15</v>
      </c>
      <c r="F4" s="87">
        <f>E4-B4</f>
        <v>15</v>
      </c>
      <c r="G4" s="87">
        <f>F4-C4</f>
        <v>11</v>
      </c>
      <c r="H4" s="88">
        <f>F4/C4</f>
        <v>3.75</v>
      </c>
      <c r="I4" s="88">
        <f>C4/F4</f>
        <v>0.26666666666666666</v>
      </c>
      <c r="J4" s="89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68"/>
      <c r="AF4" s="68"/>
      <c r="AG4" s="68"/>
      <c r="AH4" s="68"/>
      <c r="AI4" s="68"/>
      <c r="AJ4" s="68"/>
      <c r="AK4" s="68"/>
      <c r="AL4" s="68"/>
      <c r="AM4" s="68"/>
    </row>
    <row r="5" spans="1:39">
      <c r="A5" s="86" t="s">
        <v>8</v>
      </c>
      <c r="B5" s="86">
        <v>1</v>
      </c>
      <c r="C5" s="86">
        <v>3</v>
      </c>
      <c r="D5" s="87">
        <v>1</v>
      </c>
      <c r="E5" s="87">
        <v>9</v>
      </c>
      <c r="F5" s="87">
        <f t="shared" ref="F5:F8" si="0">E5-B5</f>
        <v>8</v>
      </c>
      <c r="G5" s="87">
        <f t="shared" ref="G5:G8" si="1">F5-C5</f>
        <v>5</v>
      </c>
      <c r="H5" s="88">
        <f t="shared" ref="H5:H8" si="2">F5/C5</f>
        <v>2.6666666666666665</v>
      </c>
      <c r="I5" s="88">
        <f t="shared" ref="I5:I8" si="3">C5/F5</f>
        <v>0.375</v>
      </c>
      <c r="J5" s="89"/>
      <c r="K5" s="62" t="s">
        <v>51</v>
      </c>
      <c r="L5" s="68" t="s">
        <v>7</v>
      </c>
      <c r="M5" s="68" t="s">
        <v>8</v>
      </c>
      <c r="N5" s="68" t="s">
        <v>9</v>
      </c>
      <c r="O5" s="68"/>
      <c r="P5" s="68" t="s">
        <v>10</v>
      </c>
      <c r="Q5" s="68"/>
      <c r="R5" s="68" t="s">
        <v>11</v>
      </c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</row>
    <row r="6" spans="1:39">
      <c r="A6" s="86" t="s">
        <v>9</v>
      </c>
      <c r="B6" s="86">
        <v>2</v>
      </c>
      <c r="C6" s="86">
        <v>6</v>
      </c>
      <c r="D6" s="87">
        <v>2</v>
      </c>
      <c r="E6" s="87">
        <v>18</v>
      </c>
      <c r="F6" s="87">
        <f t="shared" si="0"/>
        <v>16</v>
      </c>
      <c r="G6" s="87">
        <f t="shared" si="1"/>
        <v>10</v>
      </c>
      <c r="H6" s="88">
        <f t="shared" si="2"/>
        <v>2.6666666666666665</v>
      </c>
      <c r="I6" s="88">
        <f t="shared" si="3"/>
        <v>0.375</v>
      </c>
      <c r="J6" s="89"/>
      <c r="K6" s="62" t="s">
        <v>52</v>
      </c>
      <c r="M6" t="s">
        <v>7</v>
      </c>
      <c r="N6" t="s">
        <v>8</v>
      </c>
      <c r="O6" t="s">
        <v>9</v>
      </c>
      <c r="R6" t="s">
        <v>10</v>
      </c>
      <c r="S6" t="s">
        <v>11</v>
      </c>
      <c r="AK6" s="68"/>
      <c r="AL6" s="68"/>
      <c r="AM6" s="68"/>
    </row>
    <row r="7" spans="1:39">
      <c r="A7" s="86" t="s">
        <v>10</v>
      </c>
      <c r="B7" s="86">
        <v>4</v>
      </c>
      <c r="C7" s="86">
        <v>2</v>
      </c>
      <c r="D7" s="87">
        <v>5</v>
      </c>
      <c r="E7" s="87">
        <v>12</v>
      </c>
      <c r="F7" s="87">
        <f t="shared" si="0"/>
        <v>8</v>
      </c>
      <c r="G7" s="87">
        <f t="shared" si="1"/>
        <v>6</v>
      </c>
      <c r="H7" s="87">
        <f t="shared" si="2"/>
        <v>4</v>
      </c>
      <c r="I7" s="88">
        <f t="shared" si="3"/>
        <v>0.25</v>
      </c>
      <c r="J7" s="89"/>
      <c r="K7" s="62" t="s">
        <v>50</v>
      </c>
      <c r="Q7" t="s">
        <v>7</v>
      </c>
      <c r="W7" t="s">
        <v>9</v>
      </c>
      <c r="Z7" t="s">
        <v>11</v>
      </c>
      <c r="AK7" s="68"/>
      <c r="AL7" s="68"/>
      <c r="AM7" s="68"/>
    </row>
    <row r="8" spans="1:39">
      <c r="A8" s="86" t="s">
        <v>11</v>
      </c>
      <c r="B8" s="86">
        <v>6</v>
      </c>
      <c r="C8" s="86">
        <v>5</v>
      </c>
      <c r="D8" s="87">
        <v>6</v>
      </c>
      <c r="E8" s="87">
        <v>20</v>
      </c>
      <c r="F8" s="87">
        <f t="shared" si="0"/>
        <v>14</v>
      </c>
      <c r="G8" s="87">
        <f t="shared" si="1"/>
        <v>9</v>
      </c>
      <c r="H8" s="87">
        <f t="shared" si="2"/>
        <v>2.8</v>
      </c>
      <c r="I8" s="88">
        <f t="shared" si="3"/>
        <v>0.35714285714285715</v>
      </c>
      <c r="J8" s="89"/>
      <c r="AE8" s="74"/>
    </row>
    <row r="9" spans="1:39">
      <c r="F9" s="34">
        <f>AVERAGE(F4:F8)</f>
        <v>12.2</v>
      </c>
      <c r="G9" s="34">
        <f t="shared" ref="G9:I9" si="4">AVERAGE(G4:G8)</f>
        <v>8.1999999999999993</v>
      </c>
      <c r="H9" s="84">
        <f t="shared" si="4"/>
        <v>3.1766666666666667</v>
      </c>
      <c r="I9" s="84">
        <f t="shared" si="4"/>
        <v>0.32476190476190475</v>
      </c>
      <c r="L9" s="1" t="s">
        <v>7</v>
      </c>
      <c r="M9" s="80" t="s">
        <v>8</v>
      </c>
      <c r="N9" s="24" t="s">
        <v>9</v>
      </c>
      <c r="O9" s="138" t="s">
        <v>7</v>
      </c>
      <c r="P9" s="138"/>
      <c r="Q9" s="25" t="s">
        <v>10</v>
      </c>
      <c r="R9" s="79" t="s">
        <v>11</v>
      </c>
      <c r="S9" s="132" t="s">
        <v>8</v>
      </c>
      <c r="T9" s="132"/>
      <c r="U9" s="125" t="s">
        <v>9</v>
      </c>
      <c r="V9" s="125"/>
      <c r="W9" s="25" t="s">
        <v>10</v>
      </c>
      <c r="X9" s="129" t="s">
        <v>11</v>
      </c>
      <c r="Y9" s="129"/>
      <c r="Z9" s="1" t="s">
        <v>7</v>
      </c>
      <c r="AA9" s="125" t="s">
        <v>9</v>
      </c>
      <c r="AB9" s="125"/>
      <c r="AC9" s="125"/>
      <c r="AD9" s="129" t="s">
        <v>11</v>
      </c>
      <c r="AE9" s="129"/>
    </row>
    <row r="10" spans="1:39">
      <c r="L10" s="72">
        <v>0</v>
      </c>
      <c r="M10" s="72">
        <v>1</v>
      </c>
      <c r="N10" s="72">
        <v>2</v>
      </c>
      <c r="O10" s="72">
        <v>3</v>
      </c>
      <c r="P10" s="72">
        <v>4</v>
      </c>
      <c r="Q10" s="72">
        <v>5</v>
      </c>
      <c r="R10" s="72">
        <v>6</v>
      </c>
      <c r="S10" s="72">
        <v>7</v>
      </c>
      <c r="T10" s="72">
        <v>8</v>
      </c>
      <c r="U10" s="72">
        <v>9</v>
      </c>
      <c r="V10" s="72">
        <v>10</v>
      </c>
      <c r="W10" s="72">
        <v>11</v>
      </c>
      <c r="X10" s="72">
        <v>12</v>
      </c>
      <c r="Y10" s="72">
        <v>13</v>
      </c>
      <c r="Z10" s="72">
        <v>14</v>
      </c>
      <c r="AA10" s="72">
        <v>15</v>
      </c>
      <c r="AB10" s="72">
        <v>16</v>
      </c>
      <c r="AC10" s="72">
        <v>17</v>
      </c>
      <c r="AD10" s="72">
        <v>18</v>
      </c>
      <c r="AE10" s="72">
        <v>19</v>
      </c>
      <c r="AF10" s="72">
        <v>20</v>
      </c>
      <c r="AH10" s="93" t="s">
        <v>64</v>
      </c>
    </row>
    <row r="11" spans="1:39">
      <c r="AK11" s="93"/>
    </row>
    <row r="12" spans="1:39">
      <c r="U12" t="s">
        <v>8</v>
      </c>
      <c r="X12" t="s">
        <v>10</v>
      </c>
      <c r="AA12" t="s">
        <v>7</v>
      </c>
      <c r="AD12" t="s">
        <v>9</v>
      </c>
      <c r="AF12" t="s">
        <v>11</v>
      </c>
    </row>
    <row r="15" spans="1:39"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</row>
    <row r="16" spans="1:39">
      <c r="A16" s="75" t="s">
        <v>63</v>
      </c>
      <c r="L16" t="s">
        <v>13</v>
      </c>
      <c r="O16" t="s">
        <v>14</v>
      </c>
      <c r="Q16" t="s">
        <v>15</v>
      </c>
      <c r="S16" t="s">
        <v>16</v>
      </c>
      <c r="T16" t="s">
        <v>6</v>
      </c>
    </row>
    <row r="17" spans="1:41">
      <c r="A17" s="85" t="s">
        <v>53</v>
      </c>
      <c r="B17" s="85" t="s">
        <v>32</v>
      </c>
      <c r="C17" s="85" t="s">
        <v>37</v>
      </c>
      <c r="D17" s="85" t="s">
        <v>31</v>
      </c>
      <c r="E17" s="85" t="s">
        <v>3</v>
      </c>
      <c r="F17" s="85" t="s">
        <v>4</v>
      </c>
      <c r="G17" s="85" t="s">
        <v>5</v>
      </c>
      <c r="H17" s="85" t="s">
        <v>6</v>
      </c>
      <c r="I17" s="85" t="s">
        <v>38</v>
      </c>
      <c r="J17" s="85" t="s">
        <v>39</v>
      </c>
    </row>
    <row r="18" spans="1:41">
      <c r="A18" s="86" t="s">
        <v>13</v>
      </c>
      <c r="B18" s="86">
        <v>0</v>
      </c>
      <c r="C18" s="86">
        <v>4</v>
      </c>
      <c r="D18" s="86">
        <v>3</v>
      </c>
      <c r="E18" s="87">
        <v>0</v>
      </c>
      <c r="F18" s="87">
        <v>4</v>
      </c>
      <c r="G18" s="87">
        <f>F18-B18</f>
        <v>4</v>
      </c>
      <c r="H18" s="87">
        <f>G18-C18</f>
        <v>0</v>
      </c>
      <c r="I18" s="88">
        <f>G18/C18</f>
        <v>1</v>
      </c>
      <c r="J18" s="88">
        <f>C18/G18</f>
        <v>1</v>
      </c>
      <c r="L18" s="138" t="s">
        <v>13</v>
      </c>
      <c r="M18" s="138"/>
      <c r="N18" s="138"/>
      <c r="O18" s="138"/>
      <c r="P18" s="139" t="s">
        <v>14</v>
      </c>
      <c r="Q18" s="139"/>
      <c r="R18" s="139"/>
      <c r="S18" s="139"/>
      <c r="T18" s="139"/>
      <c r="U18" s="140" t="s">
        <v>16</v>
      </c>
      <c r="V18" s="140"/>
      <c r="W18" s="140"/>
      <c r="X18" s="140"/>
      <c r="Y18" s="140"/>
      <c r="Z18" s="140"/>
      <c r="AA18" s="140"/>
      <c r="AB18" s="120" t="s">
        <v>15</v>
      </c>
      <c r="AC18" s="120"/>
      <c r="AD18" s="120"/>
      <c r="AE18" s="120"/>
      <c r="AF18" s="120"/>
      <c r="AG18" s="120"/>
      <c r="AH18" s="120"/>
      <c r="AI18" s="120"/>
      <c r="AJ18" s="129" t="s">
        <v>6</v>
      </c>
      <c r="AK18" s="129"/>
      <c r="AL18" s="129"/>
    </row>
    <row r="19" spans="1:41">
      <c r="A19" s="86" t="s">
        <v>14</v>
      </c>
      <c r="B19" s="86">
        <v>3</v>
      </c>
      <c r="C19" s="86">
        <v>5</v>
      </c>
      <c r="D19" s="86">
        <v>2</v>
      </c>
      <c r="E19" s="87">
        <v>4</v>
      </c>
      <c r="F19" s="87">
        <v>9</v>
      </c>
      <c r="G19" s="87">
        <f t="shared" ref="G19:G22" si="5">F19-B19</f>
        <v>6</v>
      </c>
      <c r="H19" s="87">
        <f t="shared" ref="H19:H22" si="6">G19-C19</f>
        <v>1</v>
      </c>
      <c r="I19" s="88">
        <f t="shared" ref="I19:I22" si="7">G19/C19</f>
        <v>1.2</v>
      </c>
      <c r="J19" s="88">
        <f t="shared" ref="J19:J22" si="8">C19/G19</f>
        <v>0.83333333333333337</v>
      </c>
      <c r="L19" s="72">
        <v>0</v>
      </c>
      <c r="M19" s="72">
        <v>1</v>
      </c>
      <c r="N19" s="72">
        <v>2</v>
      </c>
      <c r="O19" s="72">
        <v>3</v>
      </c>
      <c r="P19" s="72">
        <v>4</v>
      </c>
      <c r="Q19" s="72">
        <v>5</v>
      </c>
      <c r="R19" s="72">
        <v>6</v>
      </c>
      <c r="S19" s="72">
        <v>7</v>
      </c>
      <c r="T19" s="72">
        <v>8</v>
      </c>
      <c r="U19" s="72">
        <v>9</v>
      </c>
      <c r="V19" s="72">
        <v>10</v>
      </c>
      <c r="W19" s="72">
        <v>11</v>
      </c>
      <c r="X19" s="72">
        <v>12</v>
      </c>
      <c r="Y19" s="72">
        <v>13</v>
      </c>
      <c r="Z19" s="72">
        <v>14</v>
      </c>
      <c r="AA19" s="72">
        <v>15</v>
      </c>
      <c r="AB19" s="72">
        <v>16</v>
      </c>
      <c r="AC19" s="72">
        <v>17</v>
      </c>
      <c r="AD19" s="72">
        <v>18</v>
      </c>
      <c r="AE19" s="72">
        <v>19</v>
      </c>
      <c r="AF19" s="72">
        <v>20</v>
      </c>
      <c r="AG19" s="72">
        <v>21</v>
      </c>
      <c r="AH19" s="72">
        <v>22</v>
      </c>
      <c r="AI19" s="72">
        <v>23</v>
      </c>
      <c r="AJ19" s="72">
        <v>24</v>
      </c>
      <c r="AK19" s="72">
        <v>25</v>
      </c>
      <c r="AL19" s="72">
        <v>26</v>
      </c>
      <c r="AM19" s="72">
        <v>27</v>
      </c>
      <c r="AO19" s="93" t="s">
        <v>64</v>
      </c>
    </row>
    <row r="20" spans="1:41">
      <c r="A20" s="86" t="s">
        <v>15</v>
      </c>
      <c r="B20" s="86">
        <v>5</v>
      </c>
      <c r="C20" s="86">
        <v>8</v>
      </c>
      <c r="D20" s="86">
        <v>2</v>
      </c>
      <c r="E20" s="87">
        <v>16</v>
      </c>
      <c r="F20" s="87">
        <v>24</v>
      </c>
      <c r="G20" s="87">
        <f t="shared" si="5"/>
        <v>19</v>
      </c>
      <c r="H20" s="87">
        <f t="shared" si="6"/>
        <v>11</v>
      </c>
      <c r="I20" s="88">
        <f t="shared" si="7"/>
        <v>2.375</v>
      </c>
      <c r="J20" s="88">
        <f t="shared" si="8"/>
        <v>0.42105263157894735</v>
      </c>
      <c r="L20" s="2"/>
      <c r="M20" s="2"/>
      <c r="N20" s="2"/>
      <c r="O20" s="2" t="s">
        <v>14</v>
      </c>
      <c r="P20" s="2"/>
      <c r="Q20" s="2" t="s">
        <v>15</v>
      </c>
      <c r="R20" s="2" t="s">
        <v>15</v>
      </c>
      <c r="S20" s="2" t="s">
        <v>15</v>
      </c>
      <c r="T20" s="2" t="s">
        <v>15</v>
      </c>
      <c r="U20" s="2" t="s">
        <v>15</v>
      </c>
      <c r="V20" s="2" t="s">
        <v>15</v>
      </c>
      <c r="W20" s="2" t="s">
        <v>15</v>
      </c>
      <c r="X20" s="2" t="s">
        <v>15</v>
      </c>
      <c r="Y20" s="2" t="s">
        <v>15</v>
      </c>
      <c r="Z20" s="2" t="s">
        <v>15</v>
      </c>
      <c r="AA20" s="91" t="s">
        <v>15</v>
      </c>
      <c r="AB20" s="2" t="s">
        <v>6</v>
      </c>
      <c r="AC20" s="2" t="s">
        <v>6</v>
      </c>
      <c r="AD20" s="2" t="s">
        <v>6</v>
      </c>
      <c r="AE20" s="2" t="s">
        <v>6</v>
      </c>
      <c r="AF20" s="2" t="s">
        <v>6</v>
      </c>
      <c r="AG20" s="2" t="s">
        <v>6</v>
      </c>
      <c r="AH20" s="2" t="s">
        <v>6</v>
      </c>
      <c r="AI20" s="2" t="s">
        <v>6</v>
      </c>
      <c r="AJ20" s="2"/>
      <c r="AK20" s="2"/>
      <c r="AL20" s="2"/>
      <c r="AM20" s="2"/>
    </row>
    <row r="21" spans="1:41">
      <c r="A21" s="86" t="s">
        <v>16</v>
      </c>
      <c r="B21" s="86">
        <v>7</v>
      </c>
      <c r="C21" s="86">
        <v>7</v>
      </c>
      <c r="D21" s="86">
        <v>1</v>
      </c>
      <c r="E21" s="87">
        <v>9</v>
      </c>
      <c r="F21" s="87">
        <v>16</v>
      </c>
      <c r="G21" s="87">
        <f t="shared" si="5"/>
        <v>9</v>
      </c>
      <c r="H21" s="87">
        <f t="shared" si="6"/>
        <v>2</v>
      </c>
      <c r="I21" s="88">
        <f t="shared" si="7"/>
        <v>1.2857142857142858</v>
      </c>
      <c r="J21" s="88">
        <f t="shared" si="8"/>
        <v>0.77777777777777779</v>
      </c>
      <c r="L21" s="2"/>
      <c r="M21" s="2"/>
      <c r="N21" s="2"/>
      <c r="P21" s="2"/>
      <c r="Q21" s="2"/>
      <c r="R21" s="2"/>
      <c r="S21" s="2" t="s">
        <v>16</v>
      </c>
      <c r="T21" s="91" t="s">
        <v>16</v>
      </c>
      <c r="U21" s="2" t="s">
        <v>6</v>
      </c>
      <c r="V21" s="2" t="s">
        <v>6</v>
      </c>
      <c r="W21" s="2" t="s">
        <v>6</v>
      </c>
      <c r="X21" s="2" t="s">
        <v>6</v>
      </c>
      <c r="Y21" s="2" t="s">
        <v>6</v>
      </c>
      <c r="Z21" s="2" t="s">
        <v>6</v>
      </c>
      <c r="AA21" s="2" t="s">
        <v>6</v>
      </c>
      <c r="AJ21" s="2"/>
      <c r="AK21" s="2"/>
      <c r="AL21" s="2"/>
      <c r="AM21" s="2"/>
    </row>
    <row r="22" spans="1:41">
      <c r="A22" s="86" t="s">
        <v>6</v>
      </c>
      <c r="B22" s="86">
        <v>8</v>
      </c>
      <c r="C22" s="86">
        <v>3</v>
      </c>
      <c r="D22" s="86">
        <v>3</v>
      </c>
      <c r="E22" s="87">
        <v>24</v>
      </c>
      <c r="F22" s="87">
        <v>27</v>
      </c>
      <c r="G22" s="87">
        <f t="shared" si="5"/>
        <v>19</v>
      </c>
      <c r="H22" s="87">
        <f t="shared" si="6"/>
        <v>16</v>
      </c>
      <c r="I22" s="88">
        <f t="shared" si="7"/>
        <v>6.333333333333333</v>
      </c>
      <c r="J22" s="88">
        <f t="shared" si="8"/>
        <v>0.15789473684210525</v>
      </c>
      <c r="L22" s="2"/>
      <c r="M22" s="2"/>
      <c r="N22" s="2"/>
      <c r="O22" s="2"/>
      <c r="P22" s="2"/>
      <c r="Q22" s="2"/>
      <c r="R22" s="2"/>
      <c r="S22" s="2"/>
      <c r="T22" s="2" t="s">
        <v>6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41">
      <c r="G23" s="34">
        <f>AVERAGE(G18:G22)</f>
        <v>11.4</v>
      </c>
      <c r="H23" s="34">
        <f>AVERAGE(H18:H22)</f>
        <v>6</v>
      </c>
      <c r="I23" s="84">
        <f>AVERAGE(I18:I22)</f>
        <v>2.4388095238095238</v>
      </c>
      <c r="J23" s="84">
        <f>AVERAGE(J18:J22)</f>
        <v>0.63801169590643281</v>
      </c>
      <c r="L23" s="2"/>
      <c r="M23" s="2"/>
      <c r="N23" s="2"/>
      <c r="O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41">
      <c r="G24" s="34"/>
      <c r="H24" s="34"/>
      <c r="I24" s="84"/>
      <c r="J24" s="84"/>
      <c r="L24" s="2"/>
      <c r="M24" s="2"/>
      <c r="N24" s="2"/>
      <c r="O24" s="2"/>
      <c r="P24" s="2" t="s">
        <v>13</v>
      </c>
      <c r="Q24" s="2"/>
      <c r="R24" s="2"/>
      <c r="S24" s="2"/>
      <c r="T24" s="2"/>
      <c r="U24" s="2" t="s">
        <v>14</v>
      </c>
      <c r="V24" s="2"/>
      <c r="W24" s="2"/>
      <c r="X24" s="2"/>
      <c r="Y24" s="2"/>
      <c r="Z24" s="2"/>
      <c r="AA24" s="2"/>
      <c r="AB24" s="2" t="s">
        <v>16</v>
      </c>
      <c r="AC24" s="2"/>
      <c r="AD24" s="2"/>
      <c r="AE24" s="2"/>
      <c r="AF24" s="2"/>
      <c r="AG24" s="2"/>
      <c r="AH24" s="2"/>
      <c r="AI24" s="2"/>
      <c r="AJ24" s="2" t="s">
        <v>15</v>
      </c>
      <c r="AK24" s="2"/>
      <c r="AL24" s="2"/>
      <c r="AM24" s="2" t="s">
        <v>6</v>
      </c>
    </row>
    <row r="25" spans="1:41">
      <c r="G25" s="34"/>
      <c r="H25" s="34"/>
      <c r="I25" s="84"/>
      <c r="J25" s="84"/>
      <c r="L25" s="2"/>
      <c r="M25" s="2"/>
      <c r="N25" s="2"/>
      <c r="O25" s="2"/>
      <c r="P25" s="9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41">
      <c r="A26" s="75" t="s">
        <v>54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41">
      <c r="A27" s="85" t="s">
        <v>53</v>
      </c>
      <c r="B27" s="85" t="s">
        <v>32</v>
      </c>
      <c r="C27" s="85" t="s">
        <v>37</v>
      </c>
      <c r="D27" s="85" t="s">
        <v>31</v>
      </c>
      <c r="E27" s="85" t="s">
        <v>3</v>
      </c>
      <c r="F27" s="85" t="s">
        <v>4</v>
      </c>
      <c r="G27" s="85" t="s">
        <v>5</v>
      </c>
      <c r="H27" s="85" t="s">
        <v>6</v>
      </c>
      <c r="I27" s="85" t="s">
        <v>38</v>
      </c>
      <c r="J27" s="85" t="s">
        <v>39</v>
      </c>
      <c r="L27" t="s">
        <v>13</v>
      </c>
      <c r="O27" t="s">
        <v>14</v>
      </c>
      <c r="Q27" t="s">
        <v>15</v>
      </c>
      <c r="S27" t="s">
        <v>16</v>
      </c>
      <c r="T27" t="s">
        <v>6</v>
      </c>
    </row>
    <row r="28" spans="1:41">
      <c r="A28" s="86" t="s">
        <v>13</v>
      </c>
      <c r="B28" s="86">
        <v>0</v>
      </c>
      <c r="C28" s="86">
        <v>4</v>
      </c>
      <c r="D28" s="86">
        <v>3</v>
      </c>
      <c r="E28" s="87">
        <v>0</v>
      </c>
      <c r="F28" s="87">
        <v>24</v>
      </c>
      <c r="G28" s="87">
        <v>24</v>
      </c>
      <c r="H28" s="87">
        <v>20</v>
      </c>
      <c r="I28" s="87">
        <f>G28/C28</f>
        <v>6</v>
      </c>
      <c r="J28" s="90">
        <f>C28/G28</f>
        <v>0.16666666666666666</v>
      </c>
    </row>
    <row r="29" spans="1:41">
      <c r="A29" s="86" t="s">
        <v>14</v>
      </c>
      <c r="B29" s="86">
        <v>3</v>
      </c>
      <c r="C29" s="86">
        <v>5</v>
      </c>
      <c r="D29" s="86">
        <v>2</v>
      </c>
      <c r="E29" s="87">
        <v>3</v>
      </c>
      <c r="F29" s="87">
        <v>15</v>
      </c>
      <c r="G29" s="87">
        <v>20</v>
      </c>
      <c r="H29" s="87">
        <v>15</v>
      </c>
      <c r="I29" s="87">
        <f t="shared" ref="I29:I32" si="9">G29/C29</f>
        <v>4</v>
      </c>
      <c r="J29" s="90">
        <f t="shared" ref="J29:J32" si="10">C29/G29</f>
        <v>0.25</v>
      </c>
      <c r="L29" s="138" t="s">
        <v>13</v>
      </c>
      <c r="M29" s="138"/>
      <c r="N29" s="138"/>
      <c r="O29" s="132" t="s">
        <v>14</v>
      </c>
      <c r="P29" s="132"/>
      <c r="Q29" s="132"/>
      <c r="R29" s="132"/>
      <c r="S29" s="125" t="s">
        <v>16</v>
      </c>
      <c r="T29" s="125"/>
      <c r="U29" s="125"/>
      <c r="V29" s="125"/>
      <c r="W29" s="125"/>
      <c r="X29" s="125"/>
      <c r="Y29" s="125"/>
      <c r="Z29" s="73" t="s">
        <v>14</v>
      </c>
      <c r="AA29" s="120" t="s">
        <v>15</v>
      </c>
      <c r="AB29" s="120"/>
      <c r="AC29" s="120"/>
      <c r="AD29" s="120"/>
      <c r="AE29" s="120"/>
      <c r="AF29" s="120"/>
      <c r="AG29" s="120"/>
      <c r="AH29" s="120"/>
      <c r="AI29" s="1" t="s">
        <v>13</v>
      </c>
      <c r="AJ29" s="129" t="s">
        <v>6</v>
      </c>
      <c r="AK29" s="129"/>
      <c r="AL29" s="129"/>
    </row>
    <row r="30" spans="1:41">
      <c r="A30" s="86" t="s">
        <v>15</v>
      </c>
      <c r="B30" s="86">
        <v>5</v>
      </c>
      <c r="C30" s="86">
        <v>8</v>
      </c>
      <c r="D30" s="86">
        <v>2</v>
      </c>
      <c r="E30" s="87">
        <v>14</v>
      </c>
      <c r="F30" s="87">
        <v>23</v>
      </c>
      <c r="G30" s="87">
        <v>17</v>
      </c>
      <c r="H30" s="87">
        <v>9</v>
      </c>
      <c r="I30" s="88">
        <f t="shared" si="9"/>
        <v>2.125</v>
      </c>
      <c r="J30" s="90">
        <f t="shared" si="10"/>
        <v>0.47058823529411764</v>
      </c>
      <c r="L30" s="72">
        <v>0</v>
      </c>
      <c r="M30" s="72">
        <v>1</v>
      </c>
      <c r="N30" s="72">
        <v>2</v>
      </c>
      <c r="O30" s="72">
        <v>3</v>
      </c>
      <c r="P30" s="72">
        <v>4</v>
      </c>
      <c r="Q30" s="72">
        <v>5</v>
      </c>
      <c r="R30" s="72">
        <v>6</v>
      </c>
      <c r="S30" s="72">
        <v>7</v>
      </c>
      <c r="T30" s="72">
        <v>8</v>
      </c>
      <c r="U30" s="72">
        <v>9</v>
      </c>
      <c r="V30" s="72">
        <v>10</v>
      </c>
      <c r="W30" s="72">
        <v>11</v>
      </c>
      <c r="X30" s="72">
        <v>12</v>
      </c>
      <c r="Y30" s="72">
        <v>13</v>
      </c>
      <c r="Z30" s="72">
        <v>14</v>
      </c>
      <c r="AA30" s="72">
        <v>15</v>
      </c>
      <c r="AB30" s="72">
        <v>16</v>
      </c>
      <c r="AC30" s="72">
        <v>17</v>
      </c>
      <c r="AD30" s="72">
        <v>18</v>
      </c>
      <c r="AE30" s="72">
        <v>19</v>
      </c>
      <c r="AF30" s="72">
        <v>20</v>
      </c>
      <c r="AG30" s="72">
        <v>21</v>
      </c>
      <c r="AH30" s="72">
        <v>22</v>
      </c>
      <c r="AI30" s="72">
        <v>23</v>
      </c>
      <c r="AJ30" s="72">
        <v>24</v>
      </c>
      <c r="AK30" s="72">
        <v>25</v>
      </c>
      <c r="AL30" s="72">
        <v>26</v>
      </c>
      <c r="AM30" s="72">
        <v>27</v>
      </c>
      <c r="AO30" s="93" t="s">
        <v>64</v>
      </c>
    </row>
    <row r="31" spans="1:41">
      <c r="A31" s="86" t="s">
        <v>16</v>
      </c>
      <c r="B31" s="86">
        <v>7</v>
      </c>
      <c r="C31" s="86">
        <v>7</v>
      </c>
      <c r="D31" s="86">
        <v>1</v>
      </c>
      <c r="E31" s="87">
        <v>7</v>
      </c>
      <c r="F31" s="87">
        <v>14</v>
      </c>
      <c r="G31" s="87">
        <v>7</v>
      </c>
      <c r="H31" s="87">
        <v>0</v>
      </c>
      <c r="I31" s="87">
        <f t="shared" si="9"/>
        <v>1</v>
      </c>
      <c r="J31" s="90">
        <f t="shared" si="10"/>
        <v>1</v>
      </c>
      <c r="L31" s="68" t="s">
        <v>13</v>
      </c>
      <c r="M31" s="68" t="s">
        <v>13</v>
      </c>
      <c r="N31" s="68" t="s">
        <v>13</v>
      </c>
      <c r="O31" s="68" t="s">
        <v>13</v>
      </c>
      <c r="P31" s="68" t="s">
        <v>13</v>
      </c>
      <c r="Q31" s="68" t="s">
        <v>13</v>
      </c>
      <c r="R31" s="68" t="s">
        <v>13</v>
      </c>
      <c r="S31" s="68" t="s">
        <v>13</v>
      </c>
      <c r="T31" s="68" t="s">
        <v>13</v>
      </c>
      <c r="U31" s="68" t="s">
        <v>13</v>
      </c>
      <c r="V31" s="68" t="s">
        <v>13</v>
      </c>
      <c r="W31" s="68" t="s">
        <v>13</v>
      </c>
      <c r="X31" s="68" t="s">
        <v>13</v>
      </c>
      <c r="Y31" s="68" t="s">
        <v>13</v>
      </c>
      <c r="Z31" s="68" t="s">
        <v>13</v>
      </c>
      <c r="AA31" s="68" t="s">
        <v>13</v>
      </c>
      <c r="AB31" s="68" t="s">
        <v>13</v>
      </c>
      <c r="AC31" s="68" t="s">
        <v>13</v>
      </c>
      <c r="AD31" s="68" t="s">
        <v>13</v>
      </c>
      <c r="AE31" s="68" t="s">
        <v>13</v>
      </c>
      <c r="AF31" s="68" t="s">
        <v>13</v>
      </c>
      <c r="AG31" s="68" t="s">
        <v>13</v>
      </c>
      <c r="AH31" s="68" t="s">
        <v>13</v>
      </c>
      <c r="AI31" s="92" t="s">
        <v>13</v>
      </c>
      <c r="AJ31" s="68" t="s">
        <v>6</v>
      </c>
      <c r="AK31" s="68" t="s">
        <v>6</v>
      </c>
      <c r="AL31" s="68" t="s">
        <v>6</v>
      </c>
    </row>
    <row r="32" spans="1:41">
      <c r="A32" s="86" t="s">
        <v>6</v>
      </c>
      <c r="B32" s="86">
        <v>8</v>
      </c>
      <c r="C32" s="86">
        <v>3</v>
      </c>
      <c r="D32" s="86">
        <v>3</v>
      </c>
      <c r="E32" s="87">
        <v>24</v>
      </c>
      <c r="F32" s="87">
        <v>27</v>
      </c>
      <c r="G32" s="87">
        <v>19</v>
      </c>
      <c r="H32" s="87">
        <v>16</v>
      </c>
      <c r="I32" s="88">
        <f t="shared" si="9"/>
        <v>6.333333333333333</v>
      </c>
      <c r="J32" s="90">
        <f t="shared" si="10"/>
        <v>0.15789473684210525</v>
      </c>
      <c r="L32" s="68"/>
      <c r="M32" s="68"/>
      <c r="N32" s="68"/>
      <c r="O32" s="92" t="s">
        <v>14</v>
      </c>
      <c r="P32" s="68" t="s">
        <v>14</v>
      </c>
      <c r="Q32" s="68" t="s">
        <v>14</v>
      </c>
      <c r="R32" s="68" t="s">
        <v>14</v>
      </c>
      <c r="S32" s="68" t="s">
        <v>14</v>
      </c>
      <c r="T32" s="68" t="s">
        <v>14</v>
      </c>
      <c r="U32" s="68" t="s">
        <v>14</v>
      </c>
      <c r="V32" s="68" t="s">
        <v>14</v>
      </c>
      <c r="W32" s="68" t="s">
        <v>14</v>
      </c>
      <c r="X32" s="68" t="s">
        <v>14</v>
      </c>
      <c r="Y32" s="68" t="s">
        <v>14</v>
      </c>
      <c r="Z32" s="92" t="s">
        <v>14</v>
      </c>
      <c r="AA32" s="92" t="s">
        <v>15</v>
      </c>
      <c r="AB32" s="68" t="s">
        <v>15</v>
      </c>
      <c r="AC32" s="68" t="s">
        <v>15</v>
      </c>
      <c r="AD32" s="68" t="s">
        <v>15</v>
      </c>
      <c r="AE32" s="68" t="s">
        <v>15</v>
      </c>
      <c r="AF32" s="68" t="s">
        <v>15</v>
      </c>
      <c r="AG32" s="68" t="s">
        <v>15</v>
      </c>
      <c r="AH32" s="68" t="s">
        <v>15</v>
      </c>
      <c r="AI32" s="68" t="s">
        <v>6</v>
      </c>
      <c r="AJ32" s="68"/>
      <c r="AK32" s="68"/>
      <c r="AL32" s="68"/>
    </row>
    <row r="33" spans="3:39">
      <c r="G33" s="34">
        <f>AVERAGE(G28:G32)</f>
        <v>17.399999999999999</v>
      </c>
      <c r="H33" s="34">
        <f>AVERAGE(H28:H32)</f>
        <v>12</v>
      </c>
      <c r="I33" s="84">
        <f t="shared" ref="I33:J33" si="11">AVERAGE(I28:I32)</f>
        <v>3.8916666666666666</v>
      </c>
      <c r="J33" s="84">
        <f t="shared" si="11"/>
        <v>0.40902992776057789</v>
      </c>
      <c r="L33" s="68"/>
      <c r="M33" s="68"/>
      <c r="N33" s="68"/>
      <c r="O33" s="68"/>
      <c r="P33" s="68"/>
      <c r="Q33" s="68" t="s">
        <v>15</v>
      </c>
      <c r="R33" s="68" t="s">
        <v>15</v>
      </c>
      <c r="S33" s="68" t="s">
        <v>15</v>
      </c>
      <c r="T33" s="68" t="s">
        <v>15</v>
      </c>
      <c r="U33" s="68" t="s">
        <v>15</v>
      </c>
      <c r="V33" s="68" t="s">
        <v>15</v>
      </c>
      <c r="W33" s="68" t="s">
        <v>15</v>
      </c>
      <c r="X33" s="68" t="s">
        <v>15</v>
      </c>
      <c r="Y33" s="68" t="s">
        <v>15</v>
      </c>
      <c r="Z33" s="68" t="s">
        <v>15</v>
      </c>
      <c r="AA33" s="68" t="s">
        <v>6</v>
      </c>
      <c r="AB33" s="68" t="s">
        <v>6</v>
      </c>
      <c r="AC33" s="68" t="s">
        <v>6</v>
      </c>
      <c r="AD33" s="68" t="s">
        <v>6</v>
      </c>
      <c r="AE33" s="68" t="s">
        <v>6</v>
      </c>
      <c r="AF33" s="68" t="s">
        <v>6</v>
      </c>
      <c r="AG33" s="68" t="s">
        <v>6</v>
      </c>
      <c r="AH33" s="68" t="s">
        <v>6</v>
      </c>
      <c r="AI33" s="68"/>
      <c r="AJ33" s="68"/>
      <c r="AK33" s="68"/>
      <c r="AL33" s="68"/>
    </row>
    <row r="34" spans="3:39">
      <c r="L34" s="68"/>
      <c r="M34" s="68"/>
      <c r="N34" s="68"/>
      <c r="O34" s="68"/>
      <c r="P34" s="68"/>
      <c r="Q34" s="68"/>
      <c r="R34" s="68"/>
      <c r="S34" s="92" t="s">
        <v>16</v>
      </c>
      <c r="T34" s="68" t="s">
        <v>16</v>
      </c>
      <c r="U34" s="68" t="s">
        <v>16</v>
      </c>
      <c r="V34" s="68" t="s">
        <v>16</v>
      </c>
      <c r="W34" s="68" t="s">
        <v>16</v>
      </c>
      <c r="X34" s="68" t="s">
        <v>16</v>
      </c>
      <c r="Y34" s="68" t="s">
        <v>16</v>
      </c>
      <c r="Z34" s="68" t="s">
        <v>6</v>
      </c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</row>
    <row r="35" spans="3:39">
      <c r="L35" s="68"/>
      <c r="M35" s="68"/>
      <c r="N35" s="68"/>
      <c r="O35" s="68"/>
      <c r="P35" s="68"/>
      <c r="Q35" s="68"/>
      <c r="R35" s="68"/>
      <c r="S35" s="68"/>
      <c r="T35" s="68" t="s">
        <v>6</v>
      </c>
      <c r="U35" s="68" t="s">
        <v>6</v>
      </c>
      <c r="V35" s="68" t="s">
        <v>6</v>
      </c>
      <c r="W35" s="68" t="s">
        <v>6</v>
      </c>
      <c r="X35" s="68" t="s">
        <v>6</v>
      </c>
      <c r="Y35" s="68" t="s">
        <v>6</v>
      </c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</row>
    <row r="36" spans="3:39"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</row>
    <row r="37" spans="3:39">
      <c r="Z37" s="68" t="s">
        <v>16</v>
      </c>
      <c r="AA37" t="s">
        <v>14</v>
      </c>
      <c r="AI37" t="s">
        <v>15</v>
      </c>
      <c r="AJ37" t="s">
        <v>13</v>
      </c>
      <c r="AM37" t="s">
        <v>6</v>
      </c>
    </row>
    <row r="38" spans="3:39">
      <c r="C38" s="76"/>
      <c r="D38" s="77"/>
    </row>
    <row r="39" spans="3:39">
      <c r="C39" s="76"/>
      <c r="D39" s="77"/>
    </row>
    <row r="40" spans="3:39">
      <c r="C40" s="76"/>
      <c r="D40" s="77"/>
    </row>
    <row r="41" spans="3:39">
      <c r="C41" s="76"/>
      <c r="D41" s="77"/>
    </row>
    <row r="42" spans="3:39">
      <c r="C42" s="76"/>
      <c r="D42" s="77"/>
    </row>
    <row r="43" spans="3:39">
      <c r="C43" s="76"/>
      <c r="D43" s="77"/>
    </row>
    <row r="44" spans="3:39">
      <c r="C44" s="76"/>
      <c r="D44" s="77"/>
    </row>
    <row r="45" spans="3:39">
      <c r="D45" s="77"/>
    </row>
  </sheetData>
  <mergeCells count="16">
    <mergeCell ref="O9:P9"/>
    <mergeCell ref="AA9:AC9"/>
    <mergeCell ref="AD9:AE9"/>
    <mergeCell ref="X9:Y9"/>
    <mergeCell ref="U9:V9"/>
    <mergeCell ref="S9:T9"/>
    <mergeCell ref="L29:N29"/>
    <mergeCell ref="O29:R29"/>
    <mergeCell ref="S29:Y29"/>
    <mergeCell ref="AJ29:AL29"/>
    <mergeCell ref="AA29:AH29"/>
    <mergeCell ref="L18:O18"/>
    <mergeCell ref="P18:T18"/>
    <mergeCell ref="U18:AA18"/>
    <mergeCell ref="AB18:AI18"/>
    <mergeCell ref="AJ18:AL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Hoja1</vt:lpstr>
      <vt:lpstr>Hoja2</vt:lpstr>
      <vt:lpstr>Hoja3</vt:lpstr>
      <vt:lpstr>Hoja4</vt:lpstr>
      <vt:lpstr>Hoja5</vt:lpstr>
      <vt:lpstr>Hoja6</vt:lpstr>
      <vt:lpstr>Hoja7</vt:lpstr>
      <vt:lpstr>Hoja1!Área_de_impresión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Diego Feroldi</cp:lastModifiedBy>
  <cp:lastPrinted>2022-04-05T15:13:44Z</cp:lastPrinted>
  <dcterms:created xsi:type="dcterms:W3CDTF">2022-04-04T16:35:39Z</dcterms:created>
  <dcterms:modified xsi:type="dcterms:W3CDTF">2026-04-08T11:30:40Z</dcterms:modified>
</cp:coreProperties>
</file>